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72" windowWidth="22980" windowHeight="9528" activeTab="2"/>
  </bookViews>
  <sheets>
    <sheet name="preflop" sheetId="1" r:id="rId1"/>
    <sheet name="flop" sheetId="2" r:id="rId2"/>
    <sheet name="turn" sheetId="7" r:id="rId3"/>
    <sheet name="Sheet3" sheetId="3" r:id="rId4"/>
    <sheet name="all_combos" sheetId="4" r:id="rId5"/>
    <sheet name="get_cards" sheetId="5" r:id="rId6"/>
    <sheet name="lookups" sheetId="6" r:id="rId7"/>
  </sheets>
  <externalReferences>
    <externalReference r:id="rId8"/>
  </externalReferences>
  <definedNames>
    <definedName name="_xlnm._FilterDatabase" localSheetId="6" hidden="1">lookups!$A$1:$E$1</definedName>
    <definedName name="hero_cards">[1]start!$C$8</definedName>
    <definedName name="hero_position">[1]start!$C$6</definedName>
    <definedName name="key_topic">[1]start!$C$4</definedName>
    <definedName name="question_id">[1]mapping!$D$2</definedName>
  </definedNames>
  <calcPr calcId="145621" calcMode="manual"/>
</workbook>
</file>

<file path=xl/calcChain.xml><?xml version="1.0" encoding="utf-8"?>
<calcChain xmlns="http://schemas.openxmlformats.org/spreadsheetml/2006/main">
  <c r="K2" i="7" l="1"/>
  <c r="J2" i="7"/>
  <c r="I2" i="7"/>
  <c r="I2" i="2"/>
  <c r="J2" i="2"/>
  <c r="H2" i="2"/>
  <c r="N6" i="7"/>
  <c r="M6" i="7"/>
  <c r="N5" i="7"/>
  <c r="M5" i="7"/>
  <c r="N4" i="7"/>
  <c r="M4" i="7"/>
  <c r="N3" i="7"/>
  <c r="M3" i="7"/>
  <c r="N2" i="7"/>
  <c r="M2" i="7"/>
  <c r="E6" i="2"/>
  <c r="D6" i="2"/>
  <c r="E5" i="2"/>
  <c r="D5" i="2"/>
  <c r="E4" i="2"/>
  <c r="D4" i="2"/>
  <c r="E3" i="2"/>
  <c r="D3" i="2"/>
  <c r="E2" i="2"/>
  <c r="D2" i="2"/>
  <c r="J7" i="1"/>
  <c r="K7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20" i="1"/>
  <c r="K20" i="1"/>
  <c r="J21" i="1"/>
  <c r="K21" i="1"/>
  <c r="J22" i="1"/>
  <c r="K22" i="1"/>
  <c r="J23" i="1"/>
  <c r="K23" i="1"/>
  <c r="J24" i="1"/>
  <c r="K24" i="1"/>
  <c r="J25" i="1"/>
  <c r="K25" i="1"/>
  <c r="J26" i="1"/>
  <c r="K26" i="1"/>
  <c r="J27" i="1"/>
  <c r="K27" i="1"/>
  <c r="J28" i="1"/>
  <c r="K28" i="1"/>
  <c r="J29" i="1"/>
  <c r="K29" i="1"/>
  <c r="J30" i="1"/>
  <c r="K30" i="1"/>
  <c r="J31" i="1"/>
  <c r="K31" i="1"/>
  <c r="J32" i="1"/>
  <c r="K32" i="1"/>
  <c r="J33" i="1"/>
  <c r="K33" i="1"/>
  <c r="J34" i="1"/>
  <c r="K34" i="1"/>
  <c r="J35" i="1"/>
  <c r="K35" i="1"/>
  <c r="J36" i="1"/>
  <c r="K36" i="1"/>
  <c r="J37" i="1"/>
  <c r="K37" i="1"/>
  <c r="J38" i="1"/>
  <c r="K38" i="1"/>
  <c r="J39" i="1"/>
  <c r="K39" i="1"/>
  <c r="J40" i="1"/>
  <c r="K40" i="1"/>
  <c r="J41" i="1"/>
  <c r="K41" i="1"/>
  <c r="J42" i="1"/>
  <c r="K42" i="1"/>
  <c r="J43" i="1"/>
  <c r="K43" i="1"/>
  <c r="J44" i="1"/>
  <c r="K44" i="1"/>
  <c r="J45" i="1"/>
  <c r="K45" i="1"/>
  <c r="J46" i="1"/>
  <c r="K46" i="1"/>
  <c r="J47" i="1"/>
  <c r="K47" i="1"/>
  <c r="J48" i="1"/>
  <c r="K48" i="1"/>
  <c r="J49" i="1"/>
  <c r="K49" i="1"/>
  <c r="J50" i="1"/>
  <c r="K50" i="1"/>
  <c r="J51" i="1"/>
  <c r="K51" i="1"/>
  <c r="J52" i="1"/>
  <c r="K52" i="1"/>
  <c r="J53" i="1"/>
  <c r="K53" i="1"/>
  <c r="J54" i="1"/>
  <c r="K54" i="1"/>
  <c r="J55" i="1"/>
  <c r="K55" i="1"/>
  <c r="J56" i="1"/>
  <c r="K56" i="1"/>
  <c r="J57" i="1"/>
  <c r="K57" i="1"/>
  <c r="J58" i="1"/>
  <c r="K58" i="1"/>
  <c r="J59" i="1"/>
  <c r="K59" i="1"/>
  <c r="J60" i="1"/>
  <c r="K60" i="1"/>
  <c r="J61" i="1"/>
  <c r="K61" i="1"/>
  <c r="J62" i="1"/>
  <c r="K62" i="1"/>
  <c r="J63" i="1"/>
  <c r="K63" i="1"/>
  <c r="J64" i="1"/>
  <c r="K64" i="1"/>
  <c r="J65" i="1"/>
  <c r="K65" i="1"/>
  <c r="J66" i="1"/>
  <c r="K66" i="1"/>
  <c r="J67" i="1"/>
  <c r="K67" i="1"/>
  <c r="J68" i="1"/>
  <c r="K68" i="1"/>
  <c r="J69" i="1"/>
  <c r="K69" i="1"/>
  <c r="J70" i="1"/>
  <c r="K70" i="1"/>
  <c r="J71" i="1"/>
  <c r="K71" i="1"/>
  <c r="J72" i="1"/>
  <c r="K72" i="1"/>
  <c r="J73" i="1"/>
  <c r="K73" i="1"/>
  <c r="J74" i="1"/>
  <c r="K74" i="1"/>
  <c r="J75" i="1"/>
  <c r="K75" i="1"/>
  <c r="J76" i="1"/>
  <c r="K76" i="1"/>
  <c r="J77" i="1"/>
  <c r="K77" i="1"/>
  <c r="J78" i="1"/>
  <c r="K78" i="1"/>
  <c r="J79" i="1"/>
  <c r="K79" i="1"/>
  <c r="J80" i="1"/>
  <c r="K80" i="1"/>
  <c r="J81" i="1"/>
  <c r="K81" i="1"/>
  <c r="J82" i="1"/>
  <c r="K82" i="1"/>
  <c r="J83" i="1"/>
  <c r="K83" i="1"/>
  <c r="J84" i="1"/>
  <c r="K84" i="1"/>
  <c r="J85" i="1"/>
  <c r="K85" i="1"/>
  <c r="J86" i="1"/>
  <c r="K86" i="1"/>
  <c r="J87" i="1"/>
  <c r="K87" i="1"/>
  <c r="J88" i="1"/>
  <c r="K88" i="1"/>
  <c r="J89" i="1"/>
  <c r="K89" i="1"/>
  <c r="J90" i="1"/>
  <c r="K90" i="1"/>
  <c r="J91" i="1"/>
  <c r="K91" i="1"/>
  <c r="J92" i="1"/>
  <c r="K92" i="1"/>
  <c r="J93" i="1"/>
  <c r="K93" i="1"/>
  <c r="J94" i="1"/>
  <c r="K94" i="1"/>
  <c r="J95" i="1"/>
  <c r="K95" i="1"/>
  <c r="J96" i="1"/>
  <c r="K96" i="1"/>
  <c r="J97" i="1"/>
  <c r="K97" i="1"/>
  <c r="J98" i="1"/>
  <c r="K98" i="1"/>
  <c r="J99" i="1"/>
  <c r="K99" i="1"/>
  <c r="J100" i="1"/>
  <c r="K100" i="1"/>
  <c r="J101" i="1"/>
  <c r="K101" i="1"/>
  <c r="J102" i="1"/>
  <c r="K102" i="1"/>
  <c r="J103" i="1"/>
  <c r="K103" i="1"/>
  <c r="J104" i="1"/>
  <c r="K104" i="1"/>
  <c r="J105" i="1"/>
  <c r="K105" i="1"/>
  <c r="J106" i="1"/>
  <c r="K106" i="1"/>
  <c r="J107" i="1"/>
  <c r="K107" i="1"/>
  <c r="J108" i="1"/>
  <c r="K108" i="1"/>
  <c r="J109" i="1"/>
  <c r="K109" i="1"/>
  <c r="J110" i="1"/>
  <c r="K110" i="1"/>
  <c r="J111" i="1"/>
  <c r="K111" i="1"/>
  <c r="J112" i="1"/>
  <c r="K112" i="1"/>
  <c r="J113" i="1"/>
  <c r="K113" i="1"/>
  <c r="J114" i="1"/>
  <c r="K114" i="1"/>
  <c r="J115" i="1"/>
  <c r="K115" i="1"/>
  <c r="J116" i="1"/>
  <c r="K116" i="1"/>
  <c r="J117" i="1"/>
  <c r="K117" i="1"/>
  <c r="J118" i="1"/>
  <c r="K118" i="1"/>
  <c r="J119" i="1"/>
  <c r="K119" i="1"/>
  <c r="J120" i="1"/>
  <c r="K120" i="1"/>
  <c r="J121" i="1"/>
  <c r="K121" i="1"/>
  <c r="J122" i="1"/>
  <c r="K122" i="1"/>
  <c r="J123" i="1"/>
  <c r="K123" i="1"/>
  <c r="J124" i="1"/>
  <c r="K124" i="1"/>
  <c r="J125" i="1"/>
  <c r="K125" i="1"/>
  <c r="J126" i="1"/>
  <c r="K126" i="1"/>
  <c r="J127" i="1"/>
  <c r="K127" i="1"/>
  <c r="J128" i="1"/>
  <c r="K128" i="1"/>
  <c r="J129" i="1"/>
  <c r="K129" i="1"/>
  <c r="J130" i="1"/>
  <c r="K130" i="1"/>
  <c r="J131" i="1"/>
  <c r="K131" i="1"/>
  <c r="J132" i="1"/>
  <c r="K132" i="1"/>
  <c r="J133" i="1"/>
  <c r="K133" i="1"/>
  <c r="J134" i="1"/>
  <c r="K134" i="1"/>
  <c r="J135" i="1"/>
  <c r="K135" i="1"/>
  <c r="J136" i="1"/>
  <c r="K136" i="1"/>
  <c r="J137" i="1"/>
  <c r="K137" i="1"/>
  <c r="J138" i="1"/>
  <c r="K138" i="1"/>
  <c r="J139" i="1"/>
  <c r="K139" i="1"/>
  <c r="J140" i="1"/>
  <c r="K140" i="1"/>
  <c r="J141" i="1"/>
  <c r="K141" i="1"/>
  <c r="J142" i="1"/>
  <c r="K142" i="1"/>
  <c r="J143" i="1"/>
  <c r="K143" i="1"/>
  <c r="J144" i="1"/>
  <c r="K144" i="1"/>
  <c r="J145" i="1"/>
  <c r="K145" i="1"/>
  <c r="J146" i="1"/>
  <c r="K146" i="1"/>
  <c r="J147" i="1"/>
  <c r="K147" i="1"/>
  <c r="J148" i="1"/>
  <c r="K148" i="1"/>
  <c r="J149" i="1"/>
  <c r="K149" i="1"/>
  <c r="J150" i="1"/>
  <c r="K150" i="1"/>
  <c r="J151" i="1"/>
  <c r="K151" i="1"/>
  <c r="J152" i="1"/>
  <c r="K152" i="1"/>
  <c r="J153" i="1"/>
  <c r="K153" i="1"/>
  <c r="J154" i="1"/>
  <c r="K154" i="1"/>
  <c r="J155" i="1"/>
  <c r="K155" i="1"/>
  <c r="J156" i="1"/>
  <c r="K156" i="1"/>
  <c r="J157" i="1"/>
  <c r="K157" i="1"/>
  <c r="J158" i="1"/>
  <c r="K158" i="1"/>
  <c r="J159" i="1"/>
  <c r="K159" i="1"/>
  <c r="J160" i="1"/>
  <c r="K160" i="1"/>
  <c r="J161" i="1"/>
  <c r="K161" i="1"/>
  <c r="J162" i="1"/>
  <c r="K162" i="1"/>
  <c r="J163" i="1"/>
  <c r="K163" i="1"/>
  <c r="J164" i="1"/>
  <c r="K164" i="1"/>
  <c r="J165" i="1"/>
  <c r="K165" i="1"/>
  <c r="J166" i="1"/>
  <c r="K166" i="1"/>
  <c r="J167" i="1"/>
  <c r="K167" i="1"/>
  <c r="J168" i="1"/>
  <c r="K168" i="1"/>
  <c r="J169" i="1"/>
  <c r="K169" i="1"/>
  <c r="J170" i="1"/>
  <c r="K170" i="1"/>
  <c r="K6" i="1"/>
  <c r="J6" i="1"/>
  <c r="K5" i="1"/>
  <c r="J5" i="1"/>
  <c r="K4" i="1"/>
  <c r="J4" i="1"/>
  <c r="K3" i="1"/>
  <c r="J3" i="1"/>
  <c r="K2" i="1"/>
  <c r="J2" i="1"/>
  <c r="E3" i="1"/>
  <c r="E4" i="1"/>
  <c r="E5" i="1"/>
  <c r="E6" i="1"/>
  <c r="E2" i="1"/>
  <c r="D3" i="1"/>
  <c r="D4" i="1"/>
  <c r="D5" i="1"/>
  <c r="D6" i="1"/>
  <c r="D2" i="1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2" i="4"/>
</calcChain>
</file>

<file path=xl/sharedStrings.xml><?xml version="1.0" encoding="utf-8"?>
<sst xmlns="http://schemas.openxmlformats.org/spreadsheetml/2006/main" count="3271" uniqueCount="460">
  <si>
    <t>Flop</t>
  </si>
  <si>
    <t>Turn</t>
  </si>
  <si>
    <t>AH KH</t>
  </si>
  <si>
    <t>KS 8H 3H</t>
  </si>
  <si>
    <t>JJ</t>
  </si>
  <si>
    <t>JC JS</t>
  </si>
  <si>
    <t>JTs</t>
  </si>
  <si>
    <t>JS TS</t>
  </si>
  <si>
    <t>44</t>
  </si>
  <si>
    <t>Actual Cards</t>
  </si>
  <si>
    <t>AKs</t>
  </si>
  <si>
    <t>AQo</t>
  </si>
  <si>
    <t>Villain Card Combo</t>
  </si>
  <si>
    <t>Card_One</t>
  </si>
  <si>
    <t>Card_Two</t>
  </si>
  <si>
    <t>Card_One_Int</t>
  </si>
  <si>
    <t>Card_Two_Int</t>
  </si>
  <si>
    <t>Ac</t>
  </si>
  <si>
    <t>Ad</t>
  </si>
  <si>
    <t>Ah</t>
  </si>
  <si>
    <t>As</t>
  </si>
  <si>
    <t>Kc</t>
  </si>
  <si>
    <t>Kd</t>
  </si>
  <si>
    <t>Kh</t>
  </si>
  <si>
    <t>Ks</t>
  </si>
  <si>
    <t>Qc</t>
  </si>
  <si>
    <t>Qd</t>
  </si>
  <si>
    <t>Qh</t>
  </si>
  <si>
    <t>Qs</t>
  </si>
  <si>
    <t>Jc</t>
  </si>
  <si>
    <t>Jd</t>
  </si>
  <si>
    <t>Jh</t>
  </si>
  <si>
    <t>Js</t>
  </si>
  <si>
    <t>Tc</t>
  </si>
  <si>
    <t>Td</t>
  </si>
  <si>
    <t>Th</t>
  </si>
  <si>
    <t>Ts</t>
  </si>
  <si>
    <t>9c</t>
  </si>
  <si>
    <t>9d</t>
  </si>
  <si>
    <t>9h</t>
  </si>
  <si>
    <t>9s</t>
  </si>
  <si>
    <t>8c</t>
  </si>
  <si>
    <t>8d</t>
  </si>
  <si>
    <t>8h</t>
  </si>
  <si>
    <t>8s</t>
  </si>
  <si>
    <t>7c</t>
  </si>
  <si>
    <t>7d</t>
  </si>
  <si>
    <t>7h</t>
  </si>
  <si>
    <t>7s</t>
  </si>
  <si>
    <t>6c</t>
  </si>
  <si>
    <t>6d</t>
  </si>
  <si>
    <t>6h</t>
  </si>
  <si>
    <t>6s</t>
  </si>
  <si>
    <t>5c</t>
  </si>
  <si>
    <t>5d</t>
  </si>
  <si>
    <t>5h</t>
  </si>
  <si>
    <t>5s</t>
  </si>
  <si>
    <t>4c</t>
  </si>
  <si>
    <t>4d</t>
  </si>
  <si>
    <t>4h</t>
  </si>
  <si>
    <t>4s</t>
  </si>
  <si>
    <t>3c</t>
  </si>
  <si>
    <t>3d</t>
  </si>
  <si>
    <t>3h</t>
  </si>
  <si>
    <t>3s</t>
  </si>
  <si>
    <t>2c</t>
  </si>
  <si>
    <t>2d</t>
  </si>
  <si>
    <t>2h</t>
  </si>
  <si>
    <t>2s</t>
  </si>
  <si>
    <t>Hero Combo</t>
  </si>
  <si>
    <t>Combo</t>
  </si>
  <si>
    <t>Actual</t>
  </si>
  <si>
    <t>Card List</t>
  </si>
  <si>
    <t>AA</t>
  </si>
  <si>
    <t>AQs</t>
  </si>
  <si>
    <t>AJs</t>
  </si>
  <si>
    <t>ATs</t>
  </si>
  <si>
    <t>A9s</t>
  </si>
  <si>
    <t>A8s</t>
  </si>
  <si>
    <t>A7s</t>
  </si>
  <si>
    <t>A6s</t>
  </si>
  <si>
    <t>A5s</t>
  </si>
  <si>
    <t>A4s</t>
  </si>
  <si>
    <t>A3s</t>
  </si>
  <si>
    <t>A2s</t>
  </si>
  <si>
    <t>AKo</t>
  </si>
  <si>
    <t>KK</t>
  </si>
  <si>
    <t>KQs</t>
  </si>
  <si>
    <t>KJs</t>
  </si>
  <si>
    <t>KTs</t>
  </si>
  <si>
    <t>K9s</t>
  </si>
  <si>
    <t>K8s</t>
  </si>
  <si>
    <t>K7s</t>
  </si>
  <si>
    <t>K6s</t>
  </si>
  <si>
    <t>K5s</t>
  </si>
  <si>
    <t>K4s</t>
  </si>
  <si>
    <t>K3s</t>
  </si>
  <si>
    <t>K2s</t>
  </si>
  <si>
    <t>KQo</t>
  </si>
  <si>
    <t>QQ</t>
  </si>
  <si>
    <t>QJs</t>
  </si>
  <si>
    <t>QTs</t>
  </si>
  <si>
    <t>Q9s</t>
  </si>
  <si>
    <t>Q8s</t>
  </si>
  <si>
    <t>Q7s</t>
  </si>
  <si>
    <t>Q6s</t>
  </si>
  <si>
    <t>Q5s</t>
  </si>
  <si>
    <t>Q4s</t>
  </si>
  <si>
    <t>Q3s</t>
  </si>
  <si>
    <t>Q2s</t>
  </si>
  <si>
    <t>AJo</t>
  </si>
  <si>
    <t>KJo</t>
  </si>
  <si>
    <t>QJo</t>
  </si>
  <si>
    <t>J9s</t>
  </si>
  <si>
    <t>J8s</t>
  </si>
  <si>
    <t>J7s</t>
  </si>
  <si>
    <t>J6s</t>
  </si>
  <si>
    <t>J5s</t>
  </si>
  <si>
    <t>J4s</t>
  </si>
  <si>
    <t>J3s</t>
  </si>
  <si>
    <t>J2s</t>
  </si>
  <si>
    <t>ATo</t>
  </si>
  <si>
    <t>KTo</t>
  </si>
  <si>
    <t>QTo</t>
  </si>
  <si>
    <t>JTo</t>
  </si>
  <si>
    <t>TT</t>
  </si>
  <si>
    <t>T9s</t>
  </si>
  <si>
    <t>T8s</t>
  </si>
  <si>
    <t>T7s</t>
  </si>
  <si>
    <t>T6s</t>
  </si>
  <si>
    <t>T5s</t>
  </si>
  <si>
    <t>T4s</t>
  </si>
  <si>
    <t>T3s</t>
  </si>
  <si>
    <t>T2s</t>
  </si>
  <si>
    <t>A9o</t>
  </si>
  <si>
    <t>K9o</t>
  </si>
  <si>
    <t>Q9o</t>
  </si>
  <si>
    <t>J9o</t>
  </si>
  <si>
    <t>T9o</t>
  </si>
  <si>
    <t>99</t>
  </si>
  <si>
    <t>98s</t>
  </si>
  <si>
    <t>97s</t>
  </si>
  <si>
    <t>96s</t>
  </si>
  <si>
    <t>95s</t>
  </si>
  <si>
    <t>94s</t>
  </si>
  <si>
    <t>93s</t>
  </si>
  <si>
    <t>92s</t>
  </si>
  <si>
    <t>A8o</t>
  </si>
  <si>
    <t>K8o</t>
  </si>
  <si>
    <t>Q8o</t>
  </si>
  <si>
    <t>J8o</t>
  </si>
  <si>
    <t>T8o</t>
  </si>
  <si>
    <t>98o</t>
  </si>
  <si>
    <t>88</t>
  </si>
  <si>
    <t>87s</t>
  </si>
  <si>
    <t>86s</t>
  </si>
  <si>
    <t>85s</t>
  </si>
  <si>
    <t>84s</t>
  </si>
  <si>
    <t>83s</t>
  </si>
  <si>
    <t>82s</t>
  </si>
  <si>
    <t>A7o</t>
  </si>
  <si>
    <t>K7o</t>
  </si>
  <si>
    <t>Q7o</t>
  </si>
  <si>
    <t>J7o</t>
  </si>
  <si>
    <t>T7o</t>
  </si>
  <si>
    <t>97o</t>
  </si>
  <si>
    <t>87o</t>
  </si>
  <si>
    <t>77</t>
  </si>
  <si>
    <t>76s</t>
  </si>
  <si>
    <t>75s</t>
  </si>
  <si>
    <t>74s</t>
  </si>
  <si>
    <t>73s</t>
  </si>
  <si>
    <t>72s</t>
  </si>
  <si>
    <t>A6o</t>
  </si>
  <si>
    <t>K6o</t>
  </si>
  <si>
    <t>Q6o</t>
  </si>
  <si>
    <t>J6o</t>
  </si>
  <si>
    <t>T6o</t>
  </si>
  <si>
    <t>96o</t>
  </si>
  <si>
    <t>86o</t>
  </si>
  <si>
    <t>76o</t>
  </si>
  <si>
    <t>66</t>
  </si>
  <si>
    <t>65s</t>
  </si>
  <si>
    <t>64s</t>
  </si>
  <si>
    <t>63s</t>
  </si>
  <si>
    <t>62s</t>
  </si>
  <si>
    <t>A5o</t>
  </si>
  <si>
    <t>K5o</t>
  </si>
  <si>
    <t>Q5o</t>
  </si>
  <si>
    <t>J5o</t>
  </si>
  <si>
    <t>T5o</t>
  </si>
  <si>
    <t>95o</t>
  </si>
  <si>
    <t>85o</t>
  </si>
  <si>
    <t>75o</t>
  </si>
  <si>
    <t>65o</t>
  </si>
  <si>
    <t>55</t>
  </si>
  <si>
    <t>54s</t>
  </si>
  <si>
    <t>53s</t>
  </si>
  <si>
    <t>52s</t>
  </si>
  <si>
    <t>A4o</t>
  </si>
  <si>
    <t>K4o</t>
  </si>
  <si>
    <t>Q4o</t>
  </si>
  <si>
    <t>J4o</t>
  </si>
  <si>
    <t>T4o</t>
  </si>
  <si>
    <t>94o</t>
  </si>
  <si>
    <t>84o</t>
  </si>
  <si>
    <t>74o</t>
  </si>
  <si>
    <t>64o</t>
  </si>
  <si>
    <t>54o</t>
  </si>
  <si>
    <t>43s</t>
  </si>
  <si>
    <t>42s</t>
  </si>
  <si>
    <t>A3o</t>
  </si>
  <si>
    <t>K3o</t>
  </si>
  <si>
    <t>Q3o</t>
  </si>
  <si>
    <t>J3o</t>
  </si>
  <si>
    <t>T3o</t>
  </si>
  <si>
    <t>93o</t>
  </si>
  <si>
    <t>83o</t>
  </si>
  <si>
    <t>73o</t>
  </si>
  <si>
    <t>63o</t>
  </si>
  <si>
    <t>53o</t>
  </si>
  <si>
    <t>43o</t>
  </si>
  <si>
    <t>33</t>
  </si>
  <si>
    <t>32s</t>
  </si>
  <si>
    <t>A2o</t>
  </si>
  <si>
    <t>K2o</t>
  </si>
  <si>
    <t>Q2o</t>
  </si>
  <si>
    <t>J2o</t>
  </si>
  <si>
    <t>T2o</t>
  </si>
  <si>
    <t>92o</t>
  </si>
  <si>
    <t>82o</t>
  </si>
  <si>
    <t>72o</t>
  </si>
  <si>
    <t>62o</t>
  </si>
  <si>
    <t>52o</t>
  </si>
  <si>
    <t>42o</t>
  </si>
  <si>
    <t>32o</t>
  </si>
  <si>
    <t>22</t>
  </si>
  <si>
    <t>AC KC</t>
  </si>
  <si>
    <t>AC QC</t>
  </si>
  <si>
    <t>AC TC</t>
  </si>
  <si>
    <t>AC 9C</t>
  </si>
  <si>
    <t>AC 8C</t>
  </si>
  <si>
    <t>AC 7C</t>
  </si>
  <si>
    <t>AC 6C</t>
  </si>
  <si>
    <t>AC 5C</t>
  </si>
  <si>
    <t>AC 3C</t>
  </si>
  <si>
    <t>AC 2C</t>
  </si>
  <si>
    <t>AC KD</t>
  </si>
  <si>
    <t>KC KD</t>
  </si>
  <si>
    <t>KC QC</t>
  </si>
  <si>
    <t>KC TC</t>
  </si>
  <si>
    <t>KC 9C</t>
  </si>
  <si>
    <t>KC 8C</t>
  </si>
  <si>
    <t>KC 7C</t>
  </si>
  <si>
    <t>KC 6C</t>
  </si>
  <si>
    <t>KC 5C</t>
  </si>
  <si>
    <t>KC 3C</t>
  </si>
  <si>
    <t>KC 2C</t>
  </si>
  <si>
    <t>AC QD</t>
  </si>
  <si>
    <t>KC QD</t>
  </si>
  <si>
    <t>QC QD</t>
  </si>
  <si>
    <t>QC TC</t>
  </si>
  <si>
    <t>QC 9C</t>
  </si>
  <si>
    <t>QC 8C</t>
  </si>
  <si>
    <t>QC 7C</t>
  </si>
  <si>
    <t>QC 6C</t>
  </si>
  <si>
    <t>QC 5C</t>
  </si>
  <si>
    <t>QC 3C</t>
  </si>
  <si>
    <t>QC 2C</t>
  </si>
  <si>
    <t>AC JD</t>
  </si>
  <si>
    <t>KC JD</t>
  </si>
  <si>
    <t>QC JD</t>
  </si>
  <si>
    <t>AC TD</t>
  </si>
  <si>
    <t>KC TD</t>
  </si>
  <si>
    <t>QC TD</t>
  </si>
  <si>
    <t>TC TD</t>
  </si>
  <si>
    <t>TC 9C</t>
  </si>
  <si>
    <t>TC 8C</t>
  </si>
  <si>
    <t>TC 7C</t>
  </si>
  <si>
    <t>TC 6C</t>
  </si>
  <si>
    <t>TC 5C</t>
  </si>
  <si>
    <t>TC 3C</t>
  </si>
  <si>
    <t>TC 2C</t>
  </si>
  <si>
    <t>AC 9D</t>
  </si>
  <si>
    <t>KC 9D</t>
  </si>
  <si>
    <t>QC 9D</t>
  </si>
  <si>
    <t>TC 9D</t>
  </si>
  <si>
    <t>9C 9D</t>
  </si>
  <si>
    <t>9C 8C</t>
  </si>
  <si>
    <t>9C 7C</t>
  </si>
  <si>
    <t>9C 6C</t>
  </si>
  <si>
    <t>9C 5C</t>
  </si>
  <si>
    <t>9C 3C</t>
  </si>
  <si>
    <t>9C 2C</t>
  </si>
  <si>
    <t>AC 8D</t>
  </si>
  <si>
    <t>KC 8D</t>
  </si>
  <si>
    <t>QC 8D</t>
  </si>
  <si>
    <t>TC 8D</t>
  </si>
  <si>
    <t>9C 8D</t>
  </si>
  <si>
    <t>8C 8D</t>
  </si>
  <si>
    <t>8C 7C</t>
  </si>
  <si>
    <t>8C 6C</t>
  </si>
  <si>
    <t>8C 5C</t>
  </si>
  <si>
    <t>8C 3C</t>
  </si>
  <si>
    <t>8C 2C</t>
  </si>
  <si>
    <t>AC 7D</t>
  </si>
  <si>
    <t>KC 7D</t>
  </si>
  <si>
    <t>QC 7D</t>
  </si>
  <si>
    <t>TC 7D</t>
  </si>
  <si>
    <t>9C 7D</t>
  </si>
  <si>
    <t>8C 7D</t>
  </si>
  <si>
    <t>7C 7D</t>
  </si>
  <si>
    <t>7C 6C</t>
  </si>
  <si>
    <t>7C 5C</t>
  </si>
  <si>
    <t>7C 3C</t>
  </si>
  <si>
    <t>7C 2C</t>
  </si>
  <si>
    <t>AC 6D</t>
  </si>
  <si>
    <t>KC 6D</t>
  </si>
  <si>
    <t>QC 6D</t>
  </si>
  <si>
    <t>TC 6D</t>
  </si>
  <si>
    <t>9C 6D</t>
  </si>
  <si>
    <t>8C 6D</t>
  </si>
  <si>
    <t>7C 6D</t>
  </si>
  <si>
    <t>6C 6D</t>
  </si>
  <si>
    <t>6C 5C</t>
  </si>
  <si>
    <t>6C 3C</t>
  </si>
  <si>
    <t>6C 2C</t>
  </si>
  <si>
    <t>AC 5D</t>
  </si>
  <si>
    <t>KC 5D</t>
  </si>
  <si>
    <t>QC 5D</t>
  </si>
  <si>
    <t>TC 5D</t>
  </si>
  <si>
    <t>9C 5D</t>
  </si>
  <si>
    <t>8C 5D</t>
  </si>
  <si>
    <t>7C 5D</t>
  </si>
  <si>
    <t>6C 5D</t>
  </si>
  <si>
    <t>5C 5D</t>
  </si>
  <si>
    <t>5C 3C</t>
  </si>
  <si>
    <t>5C 2C</t>
  </si>
  <si>
    <t>AC 3D</t>
  </si>
  <si>
    <t>KC 3D</t>
  </si>
  <si>
    <t>QC 3D</t>
  </si>
  <si>
    <t>TC 3D</t>
  </si>
  <si>
    <t>9C 3D</t>
  </si>
  <si>
    <t>8C 3D</t>
  </si>
  <si>
    <t>7C 3D</t>
  </si>
  <si>
    <t>6C 3D</t>
  </si>
  <si>
    <t>5C 3D</t>
  </si>
  <si>
    <t>3C 3D</t>
  </si>
  <si>
    <t>3C 2C</t>
  </si>
  <si>
    <t>AC 2D</t>
  </si>
  <si>
    <t>KC 2D</t>
  </si>
  <si>
    <t>QC 2D</t>
  </si>
  <si>
    <t>TC 2D</t>
  </si>
  <si>
    <t>9C 2D</t>
  </si>
  <si>
    <t>8C 2D</t>
  </si>
  <si>
    <t>7C 2D</t>
  </si>
  <si>
    <t>6C 2D</t>
  </si>
  <si>
    <t>5C 2D</t>
  </si>
  <si>
    <t>3C 2D</t>
  </si>
  <si>
    <t>2C 2D</t>
  </si>
  <si>
    <t>KD JD</t>
  </si>
  <si>
    <t>QD JD</t>
  </si>
  <si>
    <t>JD JH</t>
  </si>
  <si>
    <t>JD TD</t>
  </si>
  <si>
    <t>JD 9D</t>
  </si>
  <si>
    <t>JD 8D</t>
  </si>
  <si>
    <t>JD 7D</t>
  </si>
  <si>
    <t>JD 6D</t>
  </si>
  <si>
    <t>JD 5D</t>
  </si>
  <si>
    <t>JD 3D</t>
  </si>
  <si>
    <t>JD 2D</t>
  </si>
  <si>
    <t>JD TC</t>
  </si>
  <si>
    <t>JD 9C</t>
  </si>
  <si>
    <t>JD 8C</t>
  </si>
  <si>
    <t>JD 7C</t>
  </si>
  <si>
    <t>JD 6C</t>
  </si>
  <si>
    <t>JD 5C</t>
  </si>
  <si>
    <t>JD 3C</t>
  </si>
  <si>
    <t>JD 2C</t>
  </si>
  <si>
    <t>AH QS</t>
  </si>
  <si>
    <t>AC AD</t>
  </si>
  <si>
    <t>AD JD</t>
  </si>
  <si>
    <t>4C 4H</t>
  </si>
  <si>
    <t>AD 4D</t>
  </si>
  <si>
    <t>KD 4D</t>
  </si>
  <si>
    <t>QD 4D</t>
  </si>
  <si>
    <t>JD 4D</t>
  </si>
  <si>
    <t>TD 4D</t>
  </si>
  <si>
    <t>9D 4D</t>
  </si>
  <si>
    <t>8D 4D</t>
  </si>
  <si>
    <t>7D 4D</t>
  </si>
  <si>
    <t>6D 4D</t>
  </si>
  <si>
    <t>5D 4D</t>
  </si>
  <si>
    <t>AC 4D</t>
  </si>
  <si>
    <t>KC 4D</t>
  </si>
  <si>
    <t>QC 4D</t>
  </si>
  <si>
    <t>JD 4S</t>
  </si>
  <si>
    <t>TC 4D</t>
  </si>
  <si>
    <t>9C 4D</t>
  </si>
  <si>
    <t>8C 4D</t>
  </si>
  <si>
    <t>7C 4D</t>
  </si>
  <si>
    <t>6C 4D</t>
  </si>
  <si>
    <t>5C 4D</t>
  </si>
  <si>
    <t>4D 4S</t>
  </si>
  <si>
    <t>4D 3D</t>
  </si>
  <si>
    <t>4D 2D</t>
  </si>
  <si>
    <t>4D 3C</t>
  </si>
  <si>
    <t>4D 2C</t>
  </si>
  <si>
    <t>Order</t>
  </si>
  <si>
    <t>Card</t>
  </si>
  <si>
    <t>Rank</t>
  </si>
  <si>
    <t>Suit</t>
  </si>
  <si>
    <t>Prime</t>
  </si>
  <si>
    <t>Holdings</t>
  </si>
  <si>
    <t>sheet lookups</t>
  </si>
  <si>
    <t>flops</t>
  </si>
  <si>
    <t>A</t>
  </si>
  <si>
    <t>c</t>
  </si>
  <si>
    <t>Pair of Aces</t>
  </si>
  <si>
    <t>preflop</t>
  </si>
  <si>
    <t>AH KS JC</t>
  </si>
  <si>
    <t>d</t>
  </si>
  <si>
    <t>Pair of Kings</t>
  </si>
  <si>
    <t>flop</t>
  </si>
  <si>
    <t>TS 9C 2D</t>
  </si>
  <si>
    <t>h</t>
  </si>
  <si>
    <t>Pair of Queens</t>
  </si>
  <si>
    <t>flop_type</t>
  </si>
  <si>
    <t>KS 8C 3H</t>
  </si>
  <si>
    <t>s</t>
  </si>
  <si>
    <t>Pair of Jacks</t>
  </si>
  <si>
    <t>turn</t>
  </si>
  <si>
    <t>8C 5S 3H</t>
  </si>
  <si>
    <t>K</t>
  </si>
  <si>
    <t>Pair of Tens</t>
  </si>
  <si>
    <t>7C 5D 5S</t>
  </si>
  <si>
    <t>Pair of Nines</t>
  </si>
  <si>
    <t>KS 4S 7D</t>
  </si>
  <si>
    <t>Pair of Eights</t>
  </si>
  <si>
    <t>QD QH 7C</t>
  </si>
  <si>
    <t>Pair of Sevens</t>
  </si>
  <si>
    <t>TS 9C 8D</t>
  </si>
  <si>
    <t>Q</t>
  </si>
  <si>
    <t>Pair of Sixes</t>
  </si>
  <si>
    <t>KS 4S 7S</t>
  </si>
  <si>
    <t>Pair of Fives</t>
  </si>
  <si>
    <t>AD 3C 7H</t>
  </si>
  <si>
    <t>Pair of Fours</t>
  </si>
  <si>
    <t>Pair of Treys</t>
  </si>
  <si>
    <t>J</t>
  </si>
  <si>
    <t>Pair of Deuces</t>
  </si>
  <si>
    <t>proper(</t>
  </si>
  <si>
    <t>Queens and Deuces</t>
  </si>
  <si>
    <t>Sevens and Deuces</t>
  </si>
  <si>
    <t>Fives and Deuces</t>
  </si>
  <si>
    <t>T</t>
  </si>
  <si>
    <t>card_two</t>
  </si>
  <si>
    <t>card_one</t>
  </si>
  <si>
    <t xml:space="preserve">* load up all the combos and then go through the lsit on a case by case basis to eliminate from </t>
  </si>
  <si>
    <t>card_three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</si>
</sst>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/>
    <xf numFmtId="0" fontId="0" fillId="0" borderId="0" xfId="0" applyFont="1"/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righ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144780</xdr:colOff>
          <xdr:row>0</xdr:row>
          <xdr:rowOff>137160</xdr:rowOff>
        </xdr:from>
        <xdr:to>
          <xdr:col>17</xdr:col>
          <xdr:colOff>144780</xdr:colOff>
          <xdr:row>4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t/Desktop/PokerProject/QUESTIONS_OPEN_RAI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queue"/>
      <sheetName val="mapping"/>
      <sheetName val="no_raises"/>
      <sheetName val="lookups_top"/>
      <sheetName val="card_rank"/>
      <sheetName val="range_calcs"/>
      <sheetName val="questions"/>
      <sheetName val="event_sequence"/>
      <sheetName val="follow_on"/>
      <sheetName val="range_lookup"/>
      <sheetName val="decision_criteria"/>
      <sheetName val="random_cards"/>
      <sheetName val="opening_cards"/>
      <sheetName val="lookups_gen"/>
    </sheetNames>
    <sheetDataSet>
      <sheetData sheetId="0">
        <row r="4">
          <cell r="C4" t="str">
            <v>Preflop opening betting</v>
          </cell>
        </row>
        <row r="6">
          <cell r="C6">
            <v>5</v>
          </cell>
        </row>
        <row r="8">
          <cell r="C8" t="str">
            <v>J4s</v>
          </cell>
        </row>
      </sheetData>
      <sheetData sheetId="1"/>
      <sheetData sheetId="2">
        <row r="2">
          <cell r="D2">
            <v>3002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K170"/>
  <sheetViews>
    <sheetView workbookViewId="0">
      <selection activeCell="B1" sqref="B1:E6"/>
    </sheetView>
  </sheetViews>
  <sheetFormatPr defaultRowHeight="14.4" x14ac:dyDescent="0.3"/>
  <cols>
    <col min="2" max="2" width="15.6640625" bestFit="1" customWidth="1"/>
    <col min="3" max="3" width="13.33203125" customWidth="1"/>
    <col min="4" max="5" width="10" bestFit="1" customWidth="1"/>
    <col min="8" max="8" width="16.33203125" customWidth="1"/>
    <col min="9" max="9" width="12.33203125" customWidth="1"/>
    <col min="10" max="10" width="11.6640625" customWidth="1"/>
    <col min="11" max="11" width="17.109375" customWidth="1"/>
  </cols>
  <sheetData>
    <row r="1" spans="2:11" x14ac:dyDescent="0.3">
      <c r="B1" t="s">
        <v>69</v>
      </c>
      <c r="C1" t="s">
        <v>9</v>
      </c>
      <c r="D1" t="s">
        <v>457</v>
      </c>
      <c r="E1" t="s">
        <v>456</v>
      </c>
      <c r="H1" t="s">
        <v>12</v>
      </c>
      <c r="I1" t="s">
        <v>9</v>
      </c>
      <c r="J1" t="s">
        <v>457</v>
      </c>
      <c r="K1" t="s">
        <v>456</v>
      </c>
    </row>
    <row r="2" spans="2:11" x14ac:dyDescent="0.3">
      <c r="B2" t="s">
        <v>10</v>
      </c>
      <c r="C2" t="s">
        <v>2</v>
      </c>
      <c r="D2">
        <f>VLOOKUP(LEFT(C2,2), lookups!$B:$E,4,FALSE)</f>
        <v>268446761</v>
      </c>
      <c r="E2">
        <f>VLOOKUP(RIGHT(C2,2), lookups!$B:$E,4,FALSE)</f>
        <v>134228773</v>
      </c>
      <c r="H2" t="s">
        <v>73</v>
      </c>
      <c r="I2" t="s">
        <v>380</v>
      </c>
      <c r="J2">
        <f>VLOOKUP(LEFT(I2,2), lookups!$B:$E,4,FALSE)</f>
        <v>268471337</v>
      </c>
      <c r="K2">
        <f>VLOOKUP(RIGHT(I2,2), lookups!$B:$E,4,FALSE)</f>
        <v>268454953</v>
      </c>
    </row>
    <row r="3" spans="2:11" x14ac:dyDescent="0.3">
      <c r="B3" t="s">
        <v>11</v>
      </c>
      <c r="C3" t="s">
        <v>379</v>
      </c>
      <c r="D3">
        <f>VLOOKUP(LEFT(C3,2), lookups!$B:$E,4,FALSE)</f>
        <v>268446761</v>
      </c>
      <c r="E3">
        <f>VLOOKUP(RIGHT(C3,2), lookups!$B:$E,4,FALSE)</f>
        <v>67115551</v>
      </c>
      <c r="H3" t="s">
        <v>10</v>
      </c>
      <c r="I3" t="s">
        <v>237</v>
      </c>
      <c r="J3">
        <f>VLOOKUP(LEFT(I3,2), lookups!$B:$E,4,FALSE)</f>
        <v>268471337</v>
      </c>
      <c r="K3">
        <f>VLOOKUP(RIGHT(I3,2), lookups!$B:$E,4,FALSE)</f>
        <v>134253349</v>
      </c>
    </row>
    <row r="4" spans="2:11" x14ac:dyDescent="0.3">
      <c r="B4" t="s">
        <v>4</v>
      </c>
      <c r="C4" t="s">
        <v>5</v>
      </c>
      <c r="D4">
        <f>VLOOKUP(LEFT(C4,2), lookups!$B:$E,4,FALSE)</f>
        <v>33589533</v>
      </c>
      <c r="E4">
        <f>VLOOKUP(RIGHT(C4,2), lookups!$B:$E,4,FALSE)</f>
        <v>33560861</v>
      </c>
      <c r="H4" t="s">
        <v>74</v>
      </c>
      <c r="I4" t="s">
        <v>238</v>
      </c>
      <c r="J4">
        <f>VLOOKUP(LEFT(I4,2), lookups!$B:$E,4,FALSE)</f>
        <v>268471337</v>
      </c>
      <c r="K4">
        <f>VLOOKUP(RIGHT(I4,2), lookups!$B:$E,4,FALSE)</f>
        <v>67144223</v>
      </c>
    </row>
    <row r="5" spans="2:11" x14ac:dyDescent="0.3">
      <c r="B5" t="s">
        <v>6</v>
      </c>
      <c r="C5" t="s">
        <v>7</v>
      </c>
      <c r="D5">
        <f>VLOOKUP(LEFT(C5,2), lookups!$B:$E,4,FALSE)</f>
        <v>33560861</v>
      </c>
      <c r="E5">
        <f>VLOOKUP(RIGHT(C5,2), lookups!$B:$E,4,FALSE)</f>
        <v>16783383</v>
      </c>
      <c r="H5" t="s">
        <v>75</v>
      </c>
      <c r="I5" t="s">
        <v>381</v>
      </c>
      <c r="J5">
        <f>VLOOKUP(LEFT(I5,2), lookups!$B:$E,4,FALSE)</f>
        <v>268454953</v>
      </c>
      <c r="K5">
        <f>VLOOKUP(RIGHT(I5,2), lookups!$B:$E,4,FALSE)</f>
        <v>33573149</v>
      </c>
    </row>
    <row r="6" spans="2:11" x14ac:dyDescent="0.3">
      <c r="B6" s="1" t="s">
        <v>8</v>
      </c>
      <c r="C6" t="s">
        <v>382</v>
      </c>
      <c r="D6">
        <f>VLOOKUP(LEFT(C6,2), lookups!$B:$E,4,FALSE)</f>
        <v>295429</v>
      </c>
      <c r="E6">
        <f>VLOOKUP(RIGHT(C6,2), lookups!$B:$E,4,FALSE)</f>
        <v>270853</v>
      </c>
      <c r="H6" t="s">
        <v>76</v>
      </c>
      <c r="I6" t="s">
        <v>239</v>
      </c>
      <c r="J6">
        <f>VLOOKUP(LEFT(I6,2), lookups!$B:$E,4,FALSE)</f>
        <v>268471337</v>
      </c>
      <c r="K6">
        <f>VLOOKUP(RIGHT(I6,2), lookups!$B:$E,4,FALSE)</f>
        <v>16812055</v>
      </c>
    </row>
    <row r="7" spans="2:11" x14ac:dyDescent="0.3">
      <c r="H7" t="s">
        <v>77</v>
      </c>
      <c r="I7" t="s">
        <v>240</v>
      </c>
      <c r="J7">
        <f>VLOOKUP(LEFT(I7,2), lookups!$B:$E,4,FALSE)</f>
        <v>268471337</v>
      </c>
      <c r="K7">
        <f>VLOOKUP(RIGHT(I7,2), lookups!$B:$E,4,FALSE)</f>
        <v>8423187</v>
      </c>
    </row>
    <row r="8" spans="2:11" x14ac:dyDescent="0.3">
      <c r="H8" t="s">
        <v>78</v>
      </c>
      <c r="I8" t="s">
        <v>241</v>
      </c>
      <c r="J8">
        <f>VLOOKUP(LEFT(I8,2), lookups!$B:$E,4,FALSE)</f>
        <v>268471337</v>
      </c>
      <c r="K8">
        <f>VLOOKUP(RIGHT(I8,2), lookups!$B:$E,4,FALSE)</f>
        <v>4228625</v>
      </c>
    </row>
    <row r="9" spans="2:11" x14ac:dyDescent="0.3">
      <c r="H9" t="s">
        <v>79</v>
      </c>
      <c r="I9" t="s">
        <v>242</v>
      </c>
      <c r="J9">
        <f>VLOOKUP(LEFT(I9,2), lookups!$B:$E,4,FALSE)</f>
        <v>268471337</v>
      </c>
      <c r="K9">
        <f>VLOOKUP(RIGHT(I9,2), lookups!$B:$E,4,FALSE)</f>
        <v>2131213</v>
      </c>
    </row>
    <row r="10" spans="2:11" x14ac:dyDescent="0.3">
      <c r="H10" t="s">
        <v>80</v>
      </c>
      <c r="I10" t="s">
        <v>243</v>
      </c>
      <c r="J10">
        <f>VLOOKUP(LEFT(I10,2), lookups!$B:$E,4,FALSE)</f>
        <v>268471337</v>
      </c>
      <c r="K10">
        <f>VLOOKUP(RIGHT(I10,2), lookups!$B:$E,4,FALSE)</f>
        <v>1082379</v>
      </c>
    </row>
    <row r="11" spans="2:11" x14ac:dyDescent="0.3">
      <c r="H11" t="s">
        <v>81</v>
      </c>
      <c r="I11" t="s">
        <v>244</v>
      </c>
      <c r="J11">
        <f>VLOOKUP(LEFT(I11,2), lookups!$B:$E,4,FALSE)</f>
        <v>268471337</v>
      </c>
      <c r="K11">
        <f>VLOOKUP(RIGHT(I11,2), lookups!$B:$E,4,FALSE)</f>
        <v>557831</v>
      </c>
    </row>
    <row r="12" spans="2:11" x14ac:dyDescent="0.3">
      <c r="H12" t="s">
        <v>82</v>
      </c>
      <c r="I12" t="s">
        <v>383</v>
      </c>
      <c r="J12">
        <f>VLOOKUP(LEFT(I12,2), lookups!$B:$E,4,FALSE)</f>
        <v>268454953</v>
      </c>
      <c r="K12">
        <f>VLOOKUP(RIGHT(I12,2), lookups!$B:$E,4,FALSE)</f>
        <v>279045</v>
      </c>
    </row>
    <row r="13" spans="2:11" x14ac:dyDescent="0.3">
      <c r="H13" t="s">
        <v>83</v>
      </c>
      <c r="I13" t="s">
        <v>245</v>
      </c>
      <c r="J13">
        <f>VLOOKUP(LEFT(I13,2), lookups!$B:$E,4,FALSE)</f>
        <v>268471337</v>
      </c>
      <c r="K13">
        <f>VLOOKUP(RIGHT(I13,2), lookups!$B:$E,4,FALSE)</f>
        <v>164099</v>
      </c>
    </row>
    <row r="14" spans="2:11" x14ac:dyDescent="0.3">
      <c r="H14" t="s">
        <v>84</v>
      </c>
      <c r="I14" t="s">
        <v>246</v>
      </c>
      <c r="J14">
        <f>VLOOKUP(LEFT(I14,2), lookups!$B:$E,4,FALSE)</f>
        <v>268471337</v>
      </c>
      <c r="K14">
        <f>VLOOKUP(RIGHT(I14,2), lookups!$B:$E,4,FALSE)</f>
        <v>98306</v>
      </c>
    </row>
    <row r="15" spans="2:11" x14ac:dyDescent="0.3">
      <c r="H15" t="s">
        <v>85</v>
      </c>
      <c r="I15" t="s">
        <v>247</v>
      </c>
      <c r="J15">
        <f>VLOOKUP(LEFT(I15,2), lookups!$B:$E,4,FALSE)</f>
        <v>268471337</v>
      </c>
      <c r="K15">
        <f>VLOOKUP(RIGHT(I15,2), lookups!$B:$E,4,FALSE)</f>
        <v>134236965</v>
      </c>
    </row>
    <row r="16" spans="2:11" x14ac:dyDescent="0.3">
      <c r="H16" t="s">
        <v>86</v>
      </c>
      <c r="I16" t="s">
        <v>248</v>
      </c>
      <c r="J16">
        <f>VLOOKUP(LEFT(I16,2), lookups!$B:$E,4,FALSE)</f>
        <v>134253349</v>
      </c>
      <c r="K16">
        <f>VLOOKUP(RIGHT(I16,2), lookups!$B:$E,4,FALSE)</f>
        <v>134236965</v>
      </c>
    </row>
    <row r="17" spans="8:11" x14ac:dyDescent="0.3">
      <c r="H17" t="s">
        <v>87</v>
      </c>
      <c r="I17" t="s">
        <v>249</v>
      </c>
      <c r="J17">
        <f>VLOOKUP(LEFT(I17,2), lookups!$B:$E,4,FALSE)</f>
        <v>134253349</v>
      </c>
      <c r="K17">
        <f>VLOOKUP(RIGHT(I17,2), lookups!$B:$E,4,FALSE)</f>
        <v>67144223</v>
      </c>
    </row>
    <row r="18" spans="8:11" x14ac:dyDescent="0.3">
      <c r="H18" t="s">
        <v>88</v>
      </c>
      <c r="I18" t="s">
        <v>360</v>
      </c>
      <c r="J18">
        <f>VLOOKUP(LEFT(I18,2), lookups!$B:$E,4,FALSE)</f>
        <v>134236965</v>
      </c>
      <c r="K18">
        <f>VLOOKUP(RIGHT(I18,2), lookups!$B:$E,4,FALSE)</f>
        <v>33573149</v>
      </c>
    </row>
    <row r="19" spans="8:11" x14ac:dyDescent="0.3">
      <c r="H19" t="s">
        <v>89</v>
      </c>
      <c r="I19" t="s">
        <v>250</v>
      </c>
      <c r="J19">
        <f>VLOOKUP(LEFT(I19,2), lookups!$B:$E,4,FALSE)</f>
        <v>134253349</v>
      </c>
      <c r="K19">
        <f>VLOOKUP(RIGHT(I19,2), lookups!$B:$E,4,FALSE)</f>
        <v>16812055</v>
      </c>
    </row>
    <row r="20" spans="8:11" x14ac:dyDescent="0.3">
      <c r="H20" t="s">
        <v>90</v>
      </c>
      <c r="I20" t="s">
        <v>251</v>
      </c>
      <c r="J20">
        <f>VLOOKUP(LEFT(I20,2), lookups!$B:$E,4,FALSE)</f>
        <v>134253349</v>
      </c>
      <c r="K20">
        <f>VLOOKUP(RIGHT(I20,2), lookups!$B:$E,4,FALSE)</f>
        <v>8423187</v>
      </c>
    </row>
    <row r="21" spans="8:11" x14ac:dyDescent="0.3">
      <c r="H21" t="s">
        <v>91</v>
      </c>
      <c r="I21" t="s">
        <v>252</v>
      </c>
      <c r="J21">
        <f>VLOOKUP(LEFT(I21,2), lookups!$B:$E,4,FALSE)</f>
        <v>134253349</v>
      </c>
      <c r="K21">
        <f>VLOOKUP(RIGHT(I21,2), lookups!$B:$E,4,FALSE)</f>
        <v>4228625</v>
      </c>
    </row>
    <row r="22" spans="8:11" x14ac:dyDescent="0.3">
      <c r="H22" t="s">
        <v>92</v>
      </c>
      <c r="I22" t="s">
        <v>253</v>
      </c>
      <c r="J22">
        <f>VLOOKUP(LEFT(I22,2), lookups!$B:$E,4,FALSE)</f>
        <v>134253349</v>
      </c>
      <c r="K22">
        <f>VLOOKUP(RIGHT(I22,2), lookups!$B:$E,4,FALSE)</f>
        <v>2131213</v>
      </c>
    </row>
    <row r="23" spans="8:11" x14ac:dyDescent="0.3">
      <c r="H23" t="s">
        <v>93</v>
      </c>
      <c r="I23" t="s">
        <v>254</v>
      </c>
      <c r="J23">
        <f>VLOOKUP(LEFT(I23,2), lookups!$B:$E,4,FALSE)</f>
        <v>134253349</v>
      </c>
      <c r="K23">
        <f>VLOOKUP(RIGHT(I23,2), lookups!$B:$E,4,FALSE)</f>
        <v>1082379</v>
      </c>
    </row>
    <row r="24" spans="8:11" x14ac:dyDescent="0.3">
      <c r="H24" t="s">
        <v>94</v>
      </c>
      <c r="I24" t="s">
        <v>255</v>
      </c>
      <c r="J24">
        <f>VLOOKUP(LEFT(I24,2), lookups!$B:$E,4,FALSE)</f>
        <v>134253349</v>
      </c>
      <c r="K24">
        <f>VLOOKUP(RIGHT(I24,2), lookups!$B:$E,4,FALSE)</f>
        <v>557831</v>
      </c>
    </row>
    <row r="25" spans="8:11" x14ac:dyDescent="0.3">
      <c r="H25" t="s">
        <v>95</v>
      </c>
      <c r="I25" t="s">
        <v>384</v>
      </c>
      <c r="J25">
        <f>VLOOKUP(LEFT(I25,2), lookups!$B:$E,4,FALSE)</f>
        <v>134236965</v>
      </c>
      <c r="K25">
        <f>VLOOKUP(RIGHT(I25,2), lookups!$B:$E,4,FALSE)</f>
        <v>279045</v>
      </c>
    </row>
    <row r="26" spans="8:11" x14ac:dyDescent="0.3">
      <c r="H26" t="s">
        <v>96</v>
      </c>
      <c r="I26" t="s">
        <v>256</v>
      </c>
      <c r="J26">
        <f>VLOOKUP(LEFT(I26,2), lookups!$B:$E,4,FALSE)</f>
        <v>134253349</v>
      </c>
      <c r="K26">
        <f>VLOOKUP(RIGHT(I26,2), lookups!$B:$E,4,FALSE)</f>
        <v>164099</v>
      </c>
    </row>
    <row r="27" spans="8:11" x14ac:dyDescent="0.3">
      <c r="H27" t="s">
        <v>97</v>
      </c>
      <c r="I27" t="s">
        <v>257</v>
      </c>
      <c r="J27">
        <f>VLOOKUP(LEFT(I27,2), lookups!$B:$E,4,FALSE)</f>
        <v>134253349</v>
      </c>
      <c r="K27">
        <f>VLOOKUP(RIGHT(I27,2), lookups!$B:$E,4,FALSE)</f>
        <v>98306</v>
      </c>
    </row>
    <row r="28" spans="8:11" x14ac:dyDescent="0.3">
      <c r="H28" t="s">
        <v>11</v>
      </c>
      <c r="I28" t="s">
        <v>258</v>
      </c>
      <c r="J28">
        <f>VLOOKUP(LEFT(I28,2), lookups!$B:$E,4,FALSE)</f>
        <v>268471337</v>
      </c>
      <c r="K28">
        <f>VLOOKUP(RIGHT(I28,2), lookups!$B:$E,4,FALSE)</f>
        <v>67127839</v>
      </c>
    </row>
    <row r="29" spans="8:11" x14ac:dyDescent="0.3">
      <c r="H29" t="s">
        <v>98</v>
      </c>
      <c r="I29" t="s">
        <v>259</v>
      </c>
      <c r="J29">
        <f>VLOOKUP(LEFT(I29,2), lookups!$B:$E,4,FALSE)</f>
        <v>134253349</v>
      </c>
      <c r="K29">
        <f>VLOOKUP(RIGHT(I29,2), lookups!$B:$E,4,FALSE)</f>
        <v>67127839</v>
      </c>
    </row>
    <row r="30" spans="8:11" x14ac:dyDescent="0.3">
      <c r="H30" t="s">
        <v>99</v>
      </c>
      <c r="I30" t="s">
        <v>260</v>
      </c>
      <c r="J30">
        <f>VLOOKUP(LEFT(I30,2), lookups!$B:$E,4,FALSE)</f>
        <v>67144223</v>
      </c>
      <c r="K30">
        <f>VLOOKUP(RIGHT(I30,2), lookups!$B:$E,4,FALSE)</f>
        <v>67127839</v>
      </c>
    </row>
    <row r="31" spans="8:11" x14ac:dyDescent="0.3">
      <c r="H31" t="s">
        <v>100</v>
      </c>
      <c r="I31" t="s">
        <v>361</v>
      </c>
      <c r="J31">
        <f>VLOOKUP(LEFT(I31,2), lookups!$B:$E,4,FALSE)</f>
        <v>67127839</v>
      </c>
      <c r="K31">
        <f>VLOOKUP(RIGHT(I31,2), lookups!$B:$E,4,FALSE)</f>
        <v>33573149</v>
      </c>
    </row>
    <row r="32" spans="8:11" x14ac:dyDescent="0.3">
      <c r="H32" t="s">
        <v>101</v>
      </c>
      <c r="I32" t="s">
        <v>261</v>
      </c>
      <c r="J32">
        <f>VLOOKUP(LEFT(I32,2), lookups!$B:$E,4,FALSE)</f>
        <v>67144223</v>
      </c>
      <c r="K32">
        <f>VLOOKUP(RIGHT(I32,2), lookups!$B:$E,4,FALSE)</f>
        <v>16812055</v>
      </c>
    </row>
    <row r="33" spans="8:11" x14ac:dyDescent="0.3">
      <c r="H33" t="s">
        <v>102</v>
      </c>
      <c r="I33" t="s">
        <v>262</v>
      </c>
      <c r="J33">
        <f>VLOOKUP(LEFT(I33,2), lookups!$B:$E,4,FALSE)</f>
        <v>67144223</v>
      </c>
      <c r="K33">
        <f>VLOOKUP(RIGHT(I33,2), lookups!$B:$E,4,FALSE)</f>
        <v>8423187</v>
      </c>
    </row>
    <row r="34" spans="8:11" x14ac:dyDescent="0.3">
      <c r="H34" t="s">
        <v>103</v>
      </c>
      <c r="I34" t="s">
        <v>263</v>
      </c>
      <c r="J34">
        <f>VLOOKUP(LEFT(I34,2), lookups!$B:$E,4,FALSE)</f>
        <v>67144223</v>
      </c>
      <c r="K34">
        <f>VLOOKUP(RIGHT(I34,2), lookups!$B:$E,4,FALSE)</f>
        <v>4228625</v>
      </c>
    </row>
    <row r="35" spans="8:11" x14ac:dyDescent="0.3">
      <c r="H35" t="s">
        <v>104</v>
      </c>
      <c r="I35" t="s">
        <v>264</v>
      </c>
      <c r="J35">
        <f>VLOOKUP(LEFT(I35,2), lookups!$B:$E,4,FALSE)</f>
        <v>67144223</v>
      </c>
      <c r="K35">
        <f>VLOOKUP(RIGHT(I35,2), lookups!$B:$E,4,FALSE)</f>
        <v>2131213</v>
      </c>
    </row>
    <row r="36" spans="8:11" x14ac:dyDescent="0.3">
      <c r="H36" t="s">
        <v>105</v>
      </c>
      <c r="I36" t="s">
        <v>265</v>
      </c>
      <c r="J36">
        <f>VLOOKUP(LEFT(I36,2), lookups!$B:$E,4,FALSE)</f>
        <v>67144223</v>
      </c>
      <c r="K36">
        <f>VLOOKUP(RIGHT(I36,2), lookups!$B:$E,4,FALSE)</f>
        <v>1082379</v>
      </c>
    </row>
    <row r="37" spans="8:11" x14ac:dyDescent="0.3">
      <c r="H37" t="s">
        <v>106</v>
      </c>
      <c r="I37" t="s">
        <v>266</v>
      </c>
      <c r="J37">
        <f>VLOOKUP(LEFT(I37,2), lookups!$B:$E,4,FALSE)</f>
        <v>67144223</v>
      </c>
      <c r="K37">
        <f>VLOOKUP(RIGHT(I37,2), lookups!$B:$E,4,FALSE)</f>
        <v>557831</v>
      </c>
    </row>
    <row r="38" spans="8:11" x14ac:dyDescent="0.3">
      <c r="H38" t="s">
        <v>107</v>
      </c>
      <c r="I38" t="s">
        <v>385</v>
      </c>
      <c r="J38">
        <f>VLOOKUP(LEFT(I38,2), lookups!$B:$E,4,FALSE)</f>
        <v>67127839</v>
      </c>
      <c r="K38">
        <f>VLOOKUP(RIGHT(I38,2), lookups!$B:$E,4,FALSE)</f>
        <v>279045</v>
      </c>
    </row>
    <row r="39" spans="8:11" x14ac:dyDescent="0.3">
      <c r="H39" t="s">
        <v>108</v>
      </c>
      <c r="I39" t="s">
        <v>267</v>
      </c>
      <c r="J39">
        <f>VLOOKUP(LEFT(I39,2), lookups!$B:$E,4,FALSE)</f>
        <v>67144223</v>
      </c>
      <c r="K39">
        <f>VLOOKUP(RIGHT(I39,2), lookups!$B:$E,4,FALSE)</f>
        <v>164099</v>
      </c>
    </row>
    <row r="40" spans="8:11" x14ac:dyDescent="0.3">
      <c r="H40" t="s">
        <v>109</v>
      </c>
      <c r="I40" t="s">
        <v>268</v>
      </c>
      <c r="J40">
        <f>VLOOKUP(LEFT(I40,2), lookups!$B:$E,4,FALSE)</f>
        <v>67144223</v>
      </c>
      <c r="K40">
        <f>VLOOKUP(RIGHT(I40,2), lookups!$B:$E,4,FALSE)</f>
        <v>98306</v>
      </c>
    </row>
    <row r="41" spans="8:11" x14ac:dyDescent="0.3">
      <c r="H41" t="s">
        <v>110</v>
      </c>
      <c r="I41" t="s">
        <v>269</v>
      </c>
      <c r="J41">
        <f>VLOOKUP(LEFT(I41,2), lookups!$B:$E,4,FALSE)</f>
        <v>268471337</v>
      </c>
      <c r="K41">
        <f>VLOOKUP(RIGHT(I41,2), lookups!$B:$E,4,FALSE)</f>
        <v>33573149</v>
      </c>
    </row>
    <row r="42" spans="8:11" x14ac:dyDescent="0.3">
      <c r="H42" t="s">
        <v>111</v>
      </c>
      <c r="I42" t="s">
        <v>270</v>
      </c>
      <c r="J42">
        <f>VLOOKUP(LEFT(I42,2), lookups!$B:$E,4,FALSE)</f>
        <v>134253349</v>
      </c>
      <c r="K42">
        <f>VLOOKUP(RIGHT(I42,2), lookups!$B:$E,4,FALSE)</f>
        <v>33573149</v>
      </c>
    </row>
    <row r="43" spans="8:11" x14ac:dyDescent="0.3">
      <c r="H43" t="s">
        <v>112</v>
      </c>
      <c r="I43" t="s">
        <v>271</v>
      </c>
      <c r="J43">
        <f>VLOOKUP(LEFT(I43,2), lookups!$B:$E,4,FALSE)</f>
        <v>67144223</v>
      </c>
      <c r="K43">
        <f>VLOOKUP(RIGHT(I43,2), lookups!$B:$E,4,FALSE)</f>
        <v>33573149</v>
      </c>
    </row>
    <row r="44" spans="8:11" x14ac:dyDescent="0.3">
      <c r="H44" t="s">
        <v>4</v>
      </c>
      <c r="I44" t="s">
        <v>362</v>
      </c>
      <c r="J44">
        <f>VLOOKUP(LEFT(I44,2), lookups!$B:$E,4,FALSE)</f>
        <v>33573149</v>
      </c>
      <c r="K44">
        <f>VLOOKUP(RIGHT(I44,2), lookups!$B:$E,4,FALSE)</f>
        <v>33564957</v>
      </c>
    </row>
    <row r="45" spans="8:11" x14ac:dyDescent="0.3">
      <c r="H45" t="s">
        <v>6</v>
      </c>
      <c r="I45" t="s">
        <v>363</v>
      </c>
      <c r="J45">
        <f>VLOOKUP(LEFT(I45,2), lookups!$B:$E,4,FALSE)</f>
        <v>33573149</v>
      </c>
      <c r="K45">
        <f>VLOOKUP(RIGHT(I45,2), lookups!$B:$E,4,FALSE)</f>
        <v>16795671</v>
      </c>
    </row>
    <row r="46" spans="8:11" x14ac:dyDescent="0.3">
      <c r="H46" t="s">
        <v>113</v>
      </c>
      <c r="I46" t="s">
        <v>364</v>
      </c>
      <c r="J46">
        <f>VLOOKUP(LEFT(I46,2), lookups!$B:$E,4,FALSE)</f>
        <v>33573149</v>
      </c>
      <c r="K46">
        <f>VLOOKUP(RIGHT(I46,2), lookups!$B:$E,4,FALSE)</f>
        <v>8406803</v>
      </c>
    </row>
    <row r="47" spans="8:11" x14ac:dyDescent="0.3">
      <c r="H47" t="s">
        <v>114</v>
      </c>
      <c r="I47" t="s">
        <v>365</v>
      </c>
      <c r="J47">
        <f>VLOOKUP(LEFT(I47,2), lookups!$B:$E,4,FALSE)</f>
        <v>33573149</v>
      </c>
      <c r="K47">
        <f>VLOOKUP(RIGHT(I47,2), lookups!$B:$E,4,FALSE)</f>
        <v>4212241</v>
      </c>
    </row>
    <row r="48" spans="8:11" x14ac:dyDescent="0.3">
      <c r="H48" t="s">
        <v>115</v>
      </c>
      <c r="I48" t="s">
        <v>366</v>
      </c>
      <c r="J48">
        <f>VLOOKUP(LEFT(I48,2), lookups!$B:$E,4,FALSE)</f>
        <v>33573149</v>
      </c>
      <c r="K48">
        <f>VLOOKUP(RIGHT(I48,2), lookups!$B:$E,4,FALSE)</f>
        <v>2114829</v>
      </c>
    </row>
    <row r="49" spans="8:11" x14ac:dyDescent="0.3">
      <c r="H49" t="s">
        <v>116</v>
      </c>
      <c r="I49" t="s">
        <v>367</v>
      </c>
      <c r="J49">
        <f>VLOOKUP(LEFT(I49,2), lookups!$B:$E,4,FALSE)</f>
        <v>33573149</v>
      </c>
      <c r="K49">
        <f>VLOOKUP(RIGHT(I49,2), lookups!$B:$E,4,FALSE)</f>
        <v>1065995</v>
      </c>
    </row>
    <row r="50" spans="8:11" x14ac:dyDescent="0.3">
      <c r="H50" t="s">
        <v>117</v>
      </c>
      <c r="I50" t="s">
        <v>368</v>
      </c>
      <c r="J50">
        <f>VLOOKUP(LEFT(I50,2), lookups!$B:$E,4,FALSE)</f>
        <v>33573149</v>
      </c>
      <c r="K50">
        <f>VLOOKUP(RIGHT(I50,2), lookups!$B:$E,4,FALSE)</f>
        <v>541447</v>
      </c>
    </row>
    <row r="51" spans="8:11" x14ac:dyDescent="0.3">
      <c r="H51" t="s">
        <v>118</v>
      </c>
      <c r="I51" t="s">
        <v>386</v>
      </c>
      <c r="J51">
        <f>VLOOKUP(LEFT(I51,2), lookups!$B:$E,4,FALSE)</f>
        <v>33573149</v>
      </c>
      <c r="K51">
        <f>VLOOKUP(RIGHT(I51,2), lookups!$B:$E,4,FALSE)</f>
        <v>279045</v>
      </c>
    </row>
    <row r="52" spans="8:11" x14ac:dyDescent="0.3">
      <c r="H52" t="s">
        <v>119</v>
      </c>
      <c r="I52" t="s">
        <v>369</v>
      </c>
      <c r="J52">
        <f>VLOOKUP(LEFT(I52,2), lookups!$B:$E,4,FALSE)</f>
        <v>33573149</v>
      </c>
      <c r="K52">
        <f>VLOOKUP(RIGHT(I52,2), lookups!$B:$E,4,FALSE)</f>
        <v>147715</v>
      </c>
    </row>
    <row r="53" spans="8:11" x14ac:dyDescent="0.3">
      <c r="H53" t="s">
        <v>120</v>
      </c>
      <c r="I53" t="s">
        <v>370</v>
      </c>
      <c r="J53">
        <f>VLOOKUP(LEFT(I53,2), lookups!$B:$E,4,FALSE)</f>
        <v>33573149</v>
      </c>
      <c r="K53">
        <f>VLOOKUP(RIGHT(I53,2), lookups!$B:$E,4,FALSE)</f>
        <v>81922</v>
      </c>
    </row>
    <row r="54" spans="8:11" x14ac:dyDescent="0.3">
      <c r="H54" t="s">
        <v>121</v>
      </c>
      <c r="I54" t="s">
        <v>272</v>
      </c>
      <c r="J54">
        <f>VLOOKUP(LEFT(I54,2), lookups!$B:$E,4,FALSE)</f>
        <v>268471337</v>
      </c>
      <c r="K54">
        <f>VLOOKUP(RIGHT(I54,2), lookups!$B:$E,4,FALSE)</f>
        <v>16795671</v>
      </c>
    </row>
    <row r="55" spans="8:11" x14ac:dyDescent="0.3">
      <c r="H55" t="s">
        <v>122</v>
      </c>
      <c r="I55" t="s">
        <v>273</v>
      </c>
      <c r="J55">
        <f>VLOOKUP(LEFT(I55,2), lookups!$B:$E,4,FALSE)</f>
        <v>134253349</v>
      </c>
      <c r="K55">
        <f>VLOOKUP(RIGHT(I55,2), lookups!$B:$E,4,FALSE)</f>
        <v>16795671</v>
      </c>
    </row>
    <row r="56" spans="8:11" x14ac:dyDescent="0.3">
      <c r="H56" t="s">
        <v>123</v>
      </c>
      <c r="I56" t="s">
        <v>274</v>
      </c>
      <c r="J56">
        <f>VLOOKUP(LEFT(I56,2), lookups!$B:$E,4,FALSE)</f>
        <v>67144223</v>
      </c>
      <c r="K56">
        <f>VLOOKUP(RIGHT(I56,2), lookups!$B:$E,4,FALSE)</f>
        <v>16795671</v>
      </c>
    </row>
    <row r="57" spans="8:11" x14ac:dyDescent="0.3">
      <c r="H57" t="s">
        <v>124</v>
      </c>
      <c r="I57" t="s">
        <v>371</v>
      </c>
      <c r="J57">
        <f>VLOOKUP(LEFT(I57,2), lookups!$B:$E,4,FALSE)</f>
        <v>33573149</v>
      </c>
      <c r="K57">
        <f>VLOOKUP(RIGHT(I57,2), lookups!$B:$E,4,FALSE)</f>
        <v>16812055</v>
      </c>
    </row>
    <row r="58" spans="8:11" x14ac:dyDescent="0.3">
      <c r="H58" t="s">
        <v>125</v>
      </c>
      <c r="I58" t="s">
        <v>275</v>
      </c>
      <c r="J58">
        <f>VLOOKUP(LEFT(I58,2), lookups!$B:$E,4,FALSE)</f>
        <v>16812055</v>
      </c>
      <c r="K58">
        <f>VLOOKUP(RIGHT(I58,2), lookups!$B:$E,4,FALSE)</f>
        <v>16795671</v>
      </c>
    </row>
    <row r="59" spans="8:11" x14ac:dyDescent="0.3">
      <c r="H59" t="s">
        <v>126</v>
      </c>
      <c r="I59" t="s">
        <v>276</v>
      </c>
      <c r="J59">
        <f>VLOOKUP(LEFT(I59,2), lookups!$B:$E,4,FALSE)</f>
        <v>16812055</v>
      </c>
      <c r="K59">
        <f>VLOOKUP(RIGHT(I59,2), lookups!$B:$E,4,FALSE)</f>
        <v>8423187</v>
      </c>
    </row>
    <row r="60" spans="8:11" x14ac:dyDescent="0.3">
      <c r="H60" t="s">
        <v>127</v>
      </c>
      <c r="I60" t="s">
        <v>277</v>
      </c>
      <c r="J60">
        <f>VLOOKUP(LEFT(I60,2), lookups!$B:$E,4,FALSE)</f>
        <v>16812055</v>
      </c>
      <c r="K60">
        <f>VLOOKUP(RIGHT(I60,2), lookups!$B:$E,4,FALSE)</f>
        <v>4228625</v>
      </c>
    </row>
    <row r="61" spans="8:11" x14ac:dyDescent="0.3">
      <c r="H61" t="s">
        <v>128</v>
      </c>
      <c r="I61" t="s">
        <v>278</v>
      </c>
      <c r="J61">
        <f>VLOOKUP(LEFT(I61,2), lookups!$B:$E,4,FALSE)</f>
        <v>16812055</v>
      </c>
      <c r="K61">
        <f>VLOOKUP(RIGHT(I61,2), lookups!$B:$E,4,FALSE)</f>
        <v>2131213</v>
      </c>
    </row>
    <row r="62" spans="8:11" x14ac:dyDescent="0.3">
      <c r="H62" t="s">
        <v>129</v>
      </c>
      <c r="I62" t="s">
        <v>279</v>
      </c>
      <c r="J62">
        <f>VLOOKUP(LEFT(I62,2), lookups!$B:$E,4,FALSE)</f>
        <v>16812055</v>
      </c>
      <c r="K62">
        <f>VLOOKUP(RIGHT(I62,2), lookups!$B:$E,4,FALSE)</f>
        <v>1082379</v>
      </c>
    </row>
    <row r="63" spans="8:11" x14ac:dyDescent="0.3">
      <c r="H63" t="s">
        <v>130</v>
      </c>
      <c r="I63" t="s">
        <v>280</v>
      </c>
      <c r="J63">
        <f>VLOOKUP(LEFT(I63,2), lookups!$B:$E,4,FALSE)</f>
        <v>16812055</v>
      </c>
      <c r="K63">
        <f>VLOOKUP(RIGHT(I63,2), lookups!$B:$E,4,FALSE)</f>
        <v>557831</v>
      </c>
    </row>
    <row r="64" spans="8:11" x14ac:dyDescent="0.3">
      <c r="H64" t="s">
        <v>131</v>
      </c>
      <c r="I64" t="s">
        <v>387</v>
      </c>
      <c r="J64">
        <f>VLOOKUP(LEFT(I64,2), lookups!$B:$E,4,FALSE)</f>
        <v>16795671</v>
      </c>
      <c r="K64">
        <f>VLOOKUP(RIGHT(I64,2), lookups!$B:$E,4,FALSE)</f>
        <v>279045</v>
      </c>
    </row>
    <row r="65" spans="8:11" x14ac:dyDescent="0.3">
      <c r="H65" t="s">
        <v>132</v>
      </c>
      <c r="I65" t="s">
        <v>281</v>
      </c>
      <c r="J65">
        <f>VLOOKUP(LEFT(I65,2), lookups!$B:$E,4,FALSE)</f>
        <v>16812055</v>
      </c>
      <c r="K65">
        <f>VLOOKUP(RIGHT(I65,2), lookups!$B:$E,4,FALSE)</f>
        <v>164099</v>
      </c>
    </row>
    <row r="66" spans="8:11" x14ac:dyDescent="0.3">
      <c r="H66" t="s">
        <v>133</v>
      </c>
      <c r="I66" t="s">
        <v>282</v>
      </c>
      <c r="J66">
        <f>VLOOKUP(LEFT(I66,2), lookups!$B:$E,4,FALSE)</f>
        <v>16812055</v>
      </c>
      <c r="K66">
        <f>VLOOKUP(RIGHT(I66,2), lookups!$B:$E,4,FALSE)</f>
        <v>98306</v>
      </c>
    </row>
    <row r="67" spans="8:11" x14ac:dyDescent="0.3">
      <c r="H67" t="s">
        <v>134</v>
      </c>
      <c r="I67" t="s">
        <v>283</v>
      </c>
      <c r="J67">
        <f>VLOOKUP(LEFT(I67,2), lookups!$B:$E,4,FALSE)</f>
        <v>268471337</v>
      </c>
      <c r="K67">
        <f>VLOOKUP(RIGHT(I67,2), lookups!$B:$E,4,FALSE)</f>
        <v>8406803</v>
      </c>
    </row>
    <row r="68" spans="8:11" x14ac:dyDescent="0.3">
      <c r="H68" t="s">
        <v>135</v>
      </c>
      <c r="I68" t="s">
        <v>284</v>
      </c>
      <c r="J68">
        <f>VLOOKUP(LEFT(I68,2), lookups!$B:$E,4,FALSE)</f>
        <v>134253349</v>
      </c>
      <c r="K68">
        <f>VLOOKUP(RIGHT(I68,2), lookups!$B:$E,4,FALSE)</f>
        <v>8406803</v>
      </c>
    </row>
    <row r="69" spans="8:11" x14ac:dyDescent="0.3">
      <c r="H69" t="s">
        <v>136</v>
      </c>
      <c r="I69" t="s">
        <v>285</v>
      </c>
      <c r="J69">
        <f>VLOOKUP(LEFT(I69,2), lookups!$B:$E,4,FALSE)</f>
        <v>67144223</v>
      </c>
      <c r="K69">
        <f>VLOOKUP(RIGHT(I69,2), lookups!$B:$E,4,FALSE)</f>
        <v>8406803</v>
      </c>
    </row>
    <row r="70" spans="8:11" x14ac:dyDescent="0.3">
      <c r="H70" t="s">
        <v>137</v>
      </c>
      <c r="I70" t="s">
        <v>372</v>
      </c>
      <c r="J70">
        <f>VLOOKUP(LEFT(I70,2), lookups!$B:$E,4,FALSE)</f>
        <v>33573149</v>
      </c>
      <c r="K70">
        <f>VLOOKUP(RIGHT(I70,2), lookups!$B:$E,4,FALSE)</f>
        <v>8423187</v>
      </c>
    </row>
    <row r="71" spans="8:11" x14ac:dyDescent="0.3">
      <c r="H71" t="s">
        <v>138</v>
      </c>
      <c r="I71" t="s">
        <v>286</v>
      </c>
      <c r="J71">
        <f>VLOOKUP(LEFT(I71,2), lookups!$B:$E,4,FALSE)</f>
        <v>16812055</v>
      </c>
      <c r="K71">
        <f>VLOOKUP(RIGHT(I71,2), lookups!$B:$E,4,FALSE)</f>
        <v>8406803</v>
      </c>
    </row>
    <row r="72" spans="8:11" x14ac:dyDescent="0.3">
      <c r="H72" t="s">
        <v>139</v>
      </c>
      <c r="I72" t="s">
        <v>287</v>
      </c>
      <c r="J72">
        <f>VLOOKUP(LEFT(I72,2), lookups!$B:$E,4,FALSE)</f>
        <v>8423187</v>
      </c>
      <c r="K72">
        <f>VLOOKUP(RIGHT(I72,2), lookups!$B:$E,4,FALSE)</f>
        <v>8406803</v>
      </c>
    </row>
    <row r="73" spans="8:11" x14ac:dyDescent="0.3">
      <c r="H73" t="s">
        <v>140</v>
      </c>
      <c r="I73" t="s">
        <v>288</v>
      </c>
      <c r="J73">
        <f>VLOOKUP(LEFT(I73,2), lookups!$B:$E,4,FALSE)</f>
        <v>8423187</v>
      </c>
      <c r="K73">
        <f>VLOOKUP(RIGHT(I73,2), lookups!$B:$E,4,FALSE)</f>
        <v>4228625</v>
      </c>
    </row>
    <row r="74" spans="8:11" x14ac:dyDescent="0.3">
      <c r="H74" t="s">
        <v>141</v>
      </c>
      <c r="I74" t="s">
        <v>289</v>
      </c>
      <c r="J74">
        <f>VLOOKUP(LEFT(I74,2), lookups!$B:$E,4,FALSE)</f>
        <v>8423187</v>
      </c>
      <c r="K74">
        <f>VLOOKUP(RIGHT(I74,2), lookups!$B:$E,4,FALSE)</f>
        <v>2131213</v>
      </c>
    </row>
    <row r="75" spans="8:11" x14ac:dyDescent="0.3">
      <c r="H75" t="s">
        <v>142</v>
      </c>
      <c r="I75" t="s">
        <v>290</v>
      </c>
      <c r="J75">
        <f>VLOOKUP(LEFT(I75,2), lookups!$B:$E,4,FALSE)</f>
        <v>8423187</v>
      </c>
      <c r="K75">
        <f>VLOOKUP(RIGHT(I75,2), lookups!$B:$E,4,FALSE)</f>
        <v>1082379</v>
      </c>
    </row>
    <row r="76" spans="8:11" x14ac:dyDescent="0.3">
      <c r="H76" t="s">
        <v>143</v>
      </c>
      <c r="I76" t="s">
        <v>291</v>
      </c>
      <c r="J76">
        <f>VLOOKUP(LEFT(I76,2), lookups!$B:$E,4,FALSE)</f>
        <v>8423187</v>
      </c>
      <c r="K76">
        <f>VLOOKUP(RIGHT(I76,2), lookups!$B:$E,4,FALSE)</f>
        <v>557831</v>
      </c>
    </row>
    <row r="77" spans="8:11" x14ac:dyDescent="0.3">
      <c r="H77" t="s">
        <v>144</v>
      </c>
      <c r="I77" t="s">
        <v>388</v>
      </c>
      <c r="J77">
        <f>VLOOKUP(LEFT(I77,2), lookups!$B:$E,4,FALSE)</f>
        <v>8406803</v>
      </c>
      <c r="K77">
        <f>VLOOKUP(RIGHT(I77,2), lookups!$B:$E,4,FALSE)</f>
        <v>279045</v>
      </c>
    </row>
    <row r="78" spans="8:11" x14ac:dyDescent="0.3">
      <c r="H78" t="s">
        <v>145</v>
      </c>
      <c r="I78" t="s">
        <v>292</v>
      </c>
      <c r="J78">
        <f>VLOOKUP(LEFT(I78,2), lookups!$B:$E,4,FALSE)</f>
        <v>8423187</v>
      </c>
      <c r="K78">
        <f>VLOOKUP(RIGHT(I78,2), lookups!$B:$E,4,FALSE)</f>
        <v>164099</v>
      </c>
    </row>
    <row r="79" spans="8:11" x14ac:dyDescent="0.3">
      <c r="H79" t="s">
        <v>146</v>
      </c>
      <c r="I79" t="s">
        <v>293</v>
      </c>
      <c r="J79">
        <f>VLOOKUP(LEFT(I79,2), lookups!$B:$E,4,FALSE)</f>
        <v>8423187</v>
      </c>
      <c r="K79">
        <f>VLOOKUP(RIGHT(I79,2), lookups!$B:$E,4,FALSE)</f>
        <v>98306</v>
      </c>
    </row>
    <row r="80" spans="8:11" x14ac:dyDescent="0.3">
      <c r="H80" t="s">
        <v>147</v>
      </c>
      <c r="I80" t="s">
        <v>294</v>
      </c>
      <c r="J80">
        <f>VLOOKUP(LEFT(I80,2), lookups!$B:$E,4,FALSE)</f>
        <v>268471337</v>
      </c>
      <c r="K80">
        <f>VLOOKUP(RIGHT(I80,2), lookups!$B:$E,4,FALSE)</f>
        <v>4212241</v>
      </c>
    </row>
    <row r="81" spans="8:11" x14ac:dyDescent="0.3">
      <c r="H81" t="s">
        <v>148</v>
      </c>
      <c r="I81" t="s">
        <v>295</v>
      </c>
      <c r="J81">
        <f>VLOOKUP(LEFT(I81,2), lookups!$B:$E,4,FALSE)</f>
        <v>134253349</v>
      </c>
      <c r="K81">
        <f>VLOOKUP(RIGHT(I81,2), lookups!$B:$E,4,FALSE)</f>
        <v>4212241</v>
      </c>
    </row>
    <row r="82" spans="8:11" x14ac:dyDescent="0.3">
      <c r="H82" t="s">
        <v>149</v>
      </c>
      <c r="I82" t="s">
        <v>296</v>
      </c>
      <c r="J82">
        <f>VLOOKUP(LEFT(I82,2), lookups!$B:$E,4,FALSE)</f>
        <v>67144223</v>
      </c>
      <c r="K82">
        <f>VLOOKUP(RIGHT(I82,2), lookups!$B:$E,4,FALSE)</f>
        <v>4212241</v>
      </c>
    </row>
    <row r="83" spans="8:11" x14ac:dyDescent="0.3">
      <c r="H83" t="s">
        <v>150</v>
      </c>
      <c r="I83" t="s">
        <v>373</v>
      </c>
      <c r="J83">
        <f>VLOOKUP(LEFT(I83,2), lookups!$B:$E,4,FALSE)</f>
        <v>33573149</v>
      </c>
      <c r="K83">
        <f>VLOOKUP(RIGHT(I83,2), lookups!$B:$E,4,FALSE)</f>
        <v>4228625</v>
      </c>
    </row>
    <row r="84" spans="8:11" x14ac:dyDescent="0.3">
      <c r="H84" t="s">
        <v>151</v>
      </c>
      <c r="I84" t="s">
        <v>297</v>
      </c>
      <c r="J84">
        <f>VLOOKUP(LEFT(I84,2), lookups!$B:$E,4,FALSE)</f>
        <v>16812055</v>
      </c>
      <c r="K84">
        <f>VLOOKUP(RIGHT(I84,2), lookups!$B:$E,4,FALSE)</f>
        <v>4212241</v>
      </c>
    </row>
    <row r="85" spans="8:11" x14ac:dyDescent="0.3">
      <c r="H85" t="s">
        <v>152</v>
      </c>
      <c r="I85" t="s">
        <v>298</v>
      </c>
      <c r="J85">
        <f>VLOOKUP(LEFT(I85,2), lookups!$B:$E,4,FALSE)</f>
        <v>8423187</v>
      </c>
      <c r="K85">
        <f>VLOOKUP(RIGHT(I85,2), lookups!$B:$E,4,FALSE)</f>
        <v>4212241</v>
      </c>
    </row>
    <row r="86" spans="8:11" x14ac:dyDescent="0.3">
      <c r="H86" t="s">
        <v>153</v>
      </c>
      <c r="I86" t="s">
        <v>299</v>
      </c>
      <c r="J86">
        <f>VLOOKUP(LEFT(I86,2), lookups!$B:$E,4,FALSE)</f>
        <v>4228625</v>
      </c>
      <c r="K86">
        <f>VLOOKUP(RIGHT(I86,2), lookups!$B:$E,4,FALSE)</f>
        <v>4212241</v>
      </c>
    </row>
    <row r="87" spans="8:11" x14ac:dyDescent="0.3">
      <c r="H87" t="s">
        <v>154</v>
      </c>
      <c r="I87" t="s">
        <v>300</v>
      </c>
      <c r="J87">
        <f>VLOOKUP(LEFT(I87,2), lookups!$B:$E,4,FALSE)</f>
        <v>4228625</v>
      </c>
      <c r="K87">
        <f>VLOOKUP(RIGHT(I87,2), lookups!$B:$E,4,FALSE)</f>
        <v>2131213</v>
      </c>
    </row>
    <row r="88" spans="8:11" x14ac:dyDescent="0.3">
      <c r="H88" t="s">
        <v>155</v>
      </c>
      <c r="I88" t="s">
        <v>301</v>
      </c>
      <c r="J88">
        <f>VLOOKUP(LEFT(I88,2), lookups!$B:$E,4,FALSE)</f>
        <v>4228625</v>
      </c>
      <c r="K88">
        <f>VLOOKUP(RIGHT(I88,2), lookups!$B:$E,4,FALSE)</f>
        <v>1082379</v>
      </c>
    </row>
    <row r="89" spans="8:11" x14ac:dyDescent="0.3">
      <c r="H89" t="s">
        <v>156</v>
      </c>
      <c r="I89" t="s">
        <v>302</v>
      </c>
      <c r="J89">
        <f>VLOOKUP(LEFT(I89,2), lookups!$B:$E,4,FALSE)</f>
        <v>4228625</v>
      </c>
      <c r="K89">
        <f>VLOOKUP(RIGHT(I89,2), lookups!$B:$E,4,FALSE)</f>
        <v>557831</v>
      </c>
    </row>
    <row r="90" spans="8:11" x14ac:dyDescent="0.3">
      <c r="H90" t="s">
        <v>157</v>
      </c>
      <c r="I90" t="s">
        <v>389</v>
      </c>
      <c r="J90">
        <f>VLOOKUP(LEFT(I90,2), lookups!$B:$E,4,FALSE)</f>
        <v>4212241</v>
      </c>
      <c r="K90">
        <f>VLOOKUP(RIGHT(I90,2), lookups!$B:$E,4,FALSE)</f>
        <v>279045</v>
      </c>
    </row>
    <row r="91" spans="8:11" x14ac:dyDescent="0.3">
      <c r="H91" t="s">
        <v>158</v>
      </c>
      <c r="I91" t="s">
        <v>303</v>
      </c>
      <c r="J91">
        <f>VLOOKUP(LEFT(I91,2), lookups!$B:$E,4,FALSE)</f>
        <v>4228625</v>
      </c>
      <c r="K91">
        <f>VLOOKUP(RIGHT(I91,2), lookups!$B:$E,4,FALSE)</f>
        <v>164099</v>
      </c>
    </row>
    <row r="92" spans="8:11" x14ac:dyDescent="0.3">
      <c r="H92" t="s">
        <v>159</v>
      </c>
      <c r="I92" t="s">
        <v>304</v>
      </c>
      <c r="J92">
        <f>VLOOKUP(LEFT(I92,2), lookups!$B:$E,4,FALSE)</f>
        <v>4228625</v>
      </c>
      <c r="K92">
        <f>VLOOKUP(RIGHT(I92,2), lookups!$B:$E,4,FALSE)</f>
        <v>98306</v>
      </c>
    </row>
    <row r="93" spans="8:11" x14ac:dyDescent="0.3">
      <c r="H93" t="s">
        <v>160</v>
      </c>
      <c r="I93" t="s">
        <v>305</v>
      </c>
      <c r="J93">
        <f>VLOOKUP(LEFT(I93,2), lookups!$B:$E,4,FALSE)</f>
        <v>268471337</v>
      </c>
      <c r="K93">
        <f>VLOOKUP(RIGHT(I93,2), lookups!$B:$E,4,FALSE)</f>
        <v>2114829</v>
      </c>
    </row>
    <row r="94" spans="8:11" x14ac:dyDescent="0.3">
      <c r="H94" t="s">
        <v>161</v>
      </c>
      <c r="I94" t="s">
        <v>306</v>
      </c>
      <c r="J94">
        <f>VLOOKUP(LEFT(I94,2), lookups!$B:$E,4,FALSE)</f>
        <v>134253349</v>
      </c>
      <c r="K94">
        <f>VLOOKUP(RIGHT(I94,2), lookups!$B:$E,4,FALSE)</f>
        <v>2114829</v>
      </c>
    </row>
    <row r="95" spans="8:11" x14ac:dyDescent="0.3">
      <c r="H95" t="s">
        <v>162</v>
      </c>
      <c r="I95" t="s">
        <v>307</v>
      </c>
      <c r="J95">
        <f>VLOOKUP(LEFT(I95,2), lookups!$B:$E,4,FALSE)</f>
        <v>67144223</v>
      </c>
      <c r="K95">
        <f>VLOOKUP(RIGHT(I95,2), lookups!$B:$E,4,FALSE)</f>
        <v>2114829</v>
      </c>
    </row>
    <row r="96" spans="8:11" x14ac:dyDescent="0.3">
      <c r="H96" t="s">
        <v>163</v>
      </c>
      <c r="I96" t="s">
        <v>374</v>
      </c>
      <c r="J96">
        <f>VLOOKUP(LEFT(I96,2), lookups!$B:$E,4,FALSE)</f>
        <v>33573149</v>
      </c>
      <c r="K96">
        <f>VLOOKUP(RIGHT(I96,2), lookups!$B:$E,4,FALSE)</f>
        <v>2131213</v>
      </c>
    </row>
    <row r="97" spans="8:11" x14ac:dyDescent="0.3">
      <c r="H97" t="s">
        <v>164</v>
      </c>
      <c r="I97" t="s">
        <v>308</v>
      </c>
      <c r="J97">
        <f>VLOOKUP(LEFT(I97,2), lookups!$B:$E,4,FALSE)</f>
        <v>16812055</v>
      </c>
      <c r="K97">
        <f>VLOOKUP(RIGHT(I97,2), lookups!$B:$E,4,FALSE)</f>
        <v>2114829</v>
      </c>
    </row>
    <row r="98" spans="8:11" x14ac:dyDescent="0.3">
      <c r="H98" t="s">
        <v>165</v>
      </c>
      <c r="I98" t="s">
        <v>309</v>
      </c>
      <c r="J98">
        <f>VLOOKUP(LEFT(I98,2), lookups!$B:$E,4,FALSE)</f>
        <v>8423187</v>
      </c>
      <c r="K98">
        <f>VLOOKUP(RIGHT(I98,2), lookups!$B:$E,4,FALSE)</f>
        <v>2114829</v>
      </c>
    </row>
    <row r="99" spans="8:11" x14ac:dyDescent="0.3">
      <c r="H99" t="s">
        <v>166</v>
      </c>
      <c r="I99" t="s">
        <v>310</v>
      </c>
      <c r="J99">
        <f>VLOOKUP(LEFT(I99,2), lookups!$B:$E,4,FALSE)</f>
        <v>4228625</v>
      </c>
      <c r="K99">
        <f>VLOOKUP(RIGHT(I99,2), lookups!$B:$E,4,FALSE)</f>
        <v>2114829</v>
      </c>
    </row>
    <row r="100" spans="8:11" x14ac:dyDescent="0.3">
      <c r="H100" t="s">
        <v>167</v>
      </c>
      <c r="I100" t="s">
        <v>311</v>
      </c>
      <c r="J100">
        <f>VLOOKUP(LEFT(I100,2), lookups!$B:$E,4,FALSE)</f>
        <v>2131213</v>
      </c>
      <c r="K100">
        <f>VLOOKUP(RIGHT(I100,2), lookups!$B:$E,4,FALSE)</f>
        <v>2114829</v>
      </c>
    </row>
    <row r="101" spans="8:11" x14ac:dyDescent="0.3">
      <c r="H101" t="s">
        <v>168</v>
      </c>
      <c r="I101" t="s">
        <v>312</v>
      </c>
      <c r="J101">
        <f>VLOOKUP(LEFT(I101,2), lookups!$B:$E,4,FALSE)</f>
        <v>2131213</v>
      </c>
      <c r="K101">
        <f>VLOOKUP(RIGHT(I101,2), lookups!$B:$E,4,FALSE)</f>
        <v>1082379</v>
      </c>
    </row>
    <row r="102" spans="8:11" x14ac:dyDescent="0.3">
      <c r="H102" t="s">
        <v>169</v>
      </c>
      <c r="I102" t="s">
        <v>313</v>
      </c>
      <c r="J102">
        <f>VLOOKUP(LEFT(I102,2), lookups!$B:$E,4,FALSE)</f>
        <v>2131213</v>
      </c>
      <c r="K102">
        <f>VLOOKUP(RIGHT(I102,2), lookups!$B:$E,4,FALSE)</f>
        <v>557831</v>
      </c>
    </row>
    <row r="103" spans="8:11" x14ac:dyDescent="0.3">
      <c r="H103" t="s">
        <v>170</v>
      </c>
      <c r="I103" t="s">
        <v>390</v>
      </c>
      <c r="J103">
        <f>VLOOKUP(LEFT(I103,2), lookups!$B:$E,4,FALSE)</f>
        <v>2114829</v>
      </c>
      <c r="K103">
        <f>VLOOKUP(RIGHT(I103,2), lookups!$B:$E,4,FALSE)</f>
        <v>279045</v>
      </c>
    </row>
    <row r="104" spans="8:11" x14ac:dyDescent="0.3">
      <c r="H104" t="s">
        <v>171</v>
      </c>
      <c r="I104" t="s">
        <v>314</v>
      </c>
      <c r="J104">
        <f>VLOOKUP(LEFT(I104,2), lookups!$B:$E,4,FALSE)</f>
        <v>2131213</v>
      </c>
      <c r="K104">
        <f>VLOOKUP(RIGHT(I104,2), lookups!$B:$E,4,FALSE)</f>
        <v>164099</v>
      </c>
    </row>
    <row r="105" spans="8:11" x14ac:dyDescent="0.3">
      <c r="H105" t="s">
        <v>172</v>
      </c>
      <c r="I105" t="s">
        <v>315</v>
      </c>
      <c r="J105">
        <f>VLOOKUP(LEFT(I105,2), lookups!$B:$E,4,FALSE)</f>
        <v>2131213</v>
      </c>
      <c r="K105">
        <f>VLOOKUP(RIGHT(I105,2), lookups!$B:$E,4,FALSE)</f>
        <v>98306</v>
      </c>
    </row>
    <row r="106" spans="8:11" x14ac:dyDescent="0.3">
      <c r="H106" t="s">
        <v>173</v>
      </c>
      <c r="I106" t="s">
        <v>316</v>
      </c>
      <c r="J106">
        <f>VLOOKUP(LEFT(I106,2), lookups!$B:$E,4,FALSE)</f>
        <v>268471337</v>
      </c>
      <c r="K106">
        <f>VLOOKUP(RIGHT(I106,2), lookups!$B:$E,4,FALSE)</f>
        <v>1065995</v>
      </c>
    </row>
    <row r="107" spans="8:11" x14ac:dyDescent="0.3">
      <c r="H107" t="s">
        <v>174</v>
      </c>
      <c r="I107" t="s">
        <v>317</v>
      </c>
      <c r="J107">
        <f>VLOOKUP(LEFT(I107,2), lookups!$B:$E,4,FALSE)</f>
        <v>134253349</v>
      </c>
      <c r="K107">
        <f>VLOOKUP(RIGHT(I107,2), lookups!$B:$E,4,FALSE)</f>
        <v>1065995</v>
      </c>
    </row>
    <row r="108" spans="8:11" x14ac:dyDescent="0.3">
      <c r="H108" t="s">
        <v>175</v>
      </c>
      <c r="I108" t="s">
        <v>318</v>
      </c>
      <c r="J108">
        <f>VLOOKUP(LEFT(I108,2), lookups!$B:$E,4,FALSE)</f>
        <v>67144223</v>
      </c>
      <c r="K108">
        <f>VLOOKUP(RIGHT(I108,2), lookups!$B:$E,4,FALSE)</f>
        <v>1065995</v>
      </c>
    </row>
    <row r="109" spans="8:11" x14ac:dyDescent="0.3">
      <c r="H109" t="s">
        <v>176</v>
      </c>
      <c r="I109" t="s">
        <v>375</v>
      </c>
      <c r="J109">
        <f>VLOOKUP(LEFT(I109,2), lookups!$B:$E,4,FALSE)</f>
        <v>33573149</v>
      </c>
      <c r="K109">
        <f>VLOOKUP(RIGHT(I109,2), lookups!$B:$E,4,FALSE)</f>
        <v>1082379</v>
      </c>
    </row>
    <row r="110" spans="8:11" x14ac:dyDescent="0.3">
      <c r="H110" t="s">
        <v>177</v>
      </c>
      <c r="I110" t="s">
        <v>319</v>
      </c>
      <c r="J110">
        <f>VLOOKUP(LEFT(I110,2), lookups!$B:$E,4,FALSE)</f>
        <v>16812055</v>
      </c>
      <c r="K110">
        <f>VLOOKUP(RIGHT(I110,2), lookups!$B:$E,4,FALSE)</f>
        <v>1065995</v>
      </c>
    </row>
    <row r="111" spans="8:11" x14ac:dyDescent="0.3">
      <c r="H111" t="s">
        <v>178</v>
      </c>
      <c r="I111" t="s">
        <v>320</v>
      </c>
      <c r="J111">
        <f>VLOOKUP(LEFT(I111,2), lookups!$B:$E,4,FALSE)</f>
        <v>8423187</v>
      </c>
      <c r="K111">
        <f>VLOOKUP(RIGHT(I111,2), lookups!$B:$E,4,FALSE)</f>
        <v>1065995</v>
      </c>
    </row>
    <row r="112" spans="8:11" x14ac:dyDescent="0.3">
      <c r="H112" t="s">
        <v>179</v>
      </c>
      <c r="I112" t="s">
        <v>321</v>
      </c>
      <c r="J112">
        <f>VLOOKUP(LEFT(I112,2), lookups!$B:$E,4,FALSE)</f>
        <v>4228625</v>
      </c>
      <c r="K112">
        <f>VLOOKUP(RIGHT(I112,2), lookups!$B:$E,4,FALSE)</f>
        <v>1065995</v>
      </c>
    </row>
    <row r="113" spans="8:11" x14ac:dyDescent="0.3">
      <c r="H113" t="s">
        <v>180</v>
      </c>
      <c r="I113" t="s">
        <v>322</v>
      </c>
      <c r="J113">
        <f>VLOOKUP(LEFT(I113,2), lookups!$B:$E,4,FALSE)</f>
        <v>2131213</v>
      </c>
      <c r="K113">
        <f>VLOOKUP(RIGHT(I113,2), lookups!$B:$E,4,FALSE)</f>
        <v>1065995</v>
      </c>
    </row>
    <row r="114" spans="8:11" x14ac:dyDescent="0.3">
      <c r="H114" t="s">
        <v>181</v>
      </c>
      <c r="I114" t="s">
        <v>323</v>
      </c>
      <c r="J114">
        <f>VLOOKUP(LEFT(I114,2), lookups!$B:$E,4,FALSE)</f>
        <v>1082379</v>
      </c>
      <c r="K114">
        <f>VLOOKUP(RIGHT(I114,2), lookups!$B:$E,4,FALSE)</f>
        <v>1065995</v>
      </c>
    </row>
    <row r="115" spans="8:11" x14ac:dyDescent="0.3">
      <c r="H115" t="s">
        <v>182</v>
      </c>
      <c r="I115" t="s">
        <v>324</v>
      </c>
      <c r="J115">
        <f>VLOOKUP(LEFT(I115,2), lookups!$B:$E,4,FALSE)</f>
        <v>1082379</v>
      </c>
      <c r="K115">
        <f>VLOOKUP(RIGHT(I115,2), lookups!$B:$E,4,FALSE)</f>
        <v>557831</v>
      </c>
    </row>
    <row r="116" spans="8:11" x14ac:dyDescent="0.3">
      <c r="H116" t="s">
        <v>183</v>
      </c>
      <c r="I116" t="s">
        <v>391</v>
      </c>
      <c r="J116">
        <f>VLOOKUP(LEFT(I116,2), lookups!$B:$E,4,FALSE)</f>
        <v>1065995</v>
      </c>
      <c r="K116">
        <f>VLOOKUP(RIGHT(I116,2), lookups!$B:$E,4,FALSE)</f>
        <v>279045</v>
      </c>
    </row>
    <row r="117" spans="8:11" x14ac:dyDescent="0.3">
      <c r="H117" t="s">
        <v>184</v>
      </c>
      <c r="I117" t="s">
        <v>325</v>
      </c>
      <c r="J117">
        <f>VLOOKUP(LEFT(I117,2), lookups!$B:$E,4,FALSE)</f>
        <v>1082379</v>
      </c>
      <c r="K117">
        <f>VLOOKUP(RIGHT(I117,2), lookups!$B:$E,4,FALSE)</f>
        <v>164099</v>
      </c>
    </row>
    <row r="118" spans="8:11" x14ac:dyDescent="0.3">
      <c r="H118" t="s">
        <v>185</v>
      </c>
      <c r="I118" t="s">
        <v>326</v>
      </c>
      <c r="J118">
        <f>VLOOKUP(LEFT(I118,2), lookups!$B:$E,4,FALSE)</f>
        <v>1082379</v>
      </c>
      <c r="K118">
        <f>VLOOKUP(RIGHT(I118,2), lookups!$B:$E,4,FALSE)</f>
        <v>98306</v>
      </c>
    </row>
    <row r="119" spans="8:11" x14ac:dyDescent="0.3">
      <c r="H119" t="s">
        <v>186</v>
      </c>
      <c r="I119" t="s">
        <v>327</v>
      </c>
      <c r="J119">
        <f>VLOOKUP(LEFT(I119,2), lookups!$B:$E,4,FALSE)</f>
        <v>268471337</v>
      </c>
      <c r="K119">
        <f>VLOOKUP(RIGHT(I119,2), lookups!$B:$E,4,FALSE)</f>
        <v>541447</v>
      </c>
    </row>
    <row r="120" spans="8:11" x14ac:dyDescent="0.3">
      <c r="H120" t="s">
        <v>187</v>
      </c>
      <c r="I120" t="s">
        <v>328</v>
      </c>
      <c r="J120">
        <f>VLOOKUP(LEFT(I120,2), lookups!$B:$E,4,FALSE)</f>
        <v>134253349</v>
      </c>
      <c r="K120">
        <f>VLOOKUP(RIGHT(I120,2), lookups!$B:$E,4,FALSE)</f>
        <v>541447</v>
      </c>
    </row>
    <row r="121" spans="8:11" x14ac:dyDescent="0.3">
      <c r="H121" t="s">
        <v>188</v>
      </c>
      <c r="I121" t="s">
        <v>329</v>
      </c>
      <c r="J121">
        <f>VLOOKUP(LEFT(I121,2), lookups!$B:$E,4,FALSE)</f>
        <v>67144223</v>
      </c>
      <c r="K121">
        <f>VLOOKUP(RIGHT(I121,2), lookups!$B:$E,4,FALSE)</f>
        <v>541447</v>
      </c>
    </row>
    <row r="122" spans="8:11" x14ac:dyDescent="0.3">
      <c r="H122" t="s">
        <v>189</v>
      </c>
      <c r="I122" t="s">
        <v>376</v>
      </c>
      <c r="J122">
        <f>VLOOKUP(LEFT(I122,2), lookups!$B:$E,4,FALSE)</f>
        <v>33573149</v>
      </c>
      <c r="K122">
        <f>VLOOKUP(RIGHT(I122,2), lookups!$B:$E,4,FALSE)</f>
        <v>557831</v>
      </c>
    </row>
    <row r="123" spans="8:11" x14ac:dyDescent="0.3">
      <c r="H123" t="s">
        <v>190</v>
      </c>
      <c r="I123" t="s">
        <v>330</v>
      </c>
      <c r="J123">
        <f>VLOOKUP(LEFT(I123,2), lookups!$B:$E,4,FALSE)</f>
        <v>16812055</v>
      </c>
      <c r="K123">
        <f>VLOOKUP(RIGHT(I123,2), lookups!$B:$E,4,FALSE)</f>
        <v>541447</v>
      </c>
    </row>
    <row r="124" spans="8:11" x14ac:dyDescent="0.3">
      <c r="H124" t="s">
        <v>191</v>
      </c>
      <c r="I124" t="s">
        <v>331</v>
      </c>
      <c r="J124">
        <f>VLOOKUP(LEFT(I124,2), lookups!$B:$E,4,FALSE)</f>
        <v>8423187</v>
      </c>
      <c r="K124">
        <f>VLOOKUP(RIGHT(I124,2), lookups!$B:$E,4,FALSE)</f>
        <v>541447</v>
      </c>
    </row>
    <row r="125" spans="8:11" x14ac:dyDescent="0.3">
      <c r="H125" t="s">
        <v>192</v>
      </c>
      <c r="I125" t="s">
        <v>332</v>
      </c>
      <c r="J125">
        <f>VLOOKUP(LEFT(I125,2), lookups!$B:$E,4,FALSE)</f>
        <v>4228625</v>
      </c>
      <c r="K125">
        <f>VLOOKUP(RIGHT(I125,2), lookups!$B:$E,4,FALSE)</f>
        <v>541447</v>
      </c>
    </row>
    <row r="126" spans="8:11" x14ac:dyDescent="0.3">
      <c r="H126" t="s">
        <v>193</v>
      </c>
      <c r="I126" t="s">
        <v>333</v>
      </c>
      <c r="J126">
        <f>VLOOKUP(LEFT(I126,2), lookups!$B:$E,4,FALSE)</f>
        <v>2131213</v>
      </c>
      <c r="K126">
        <f>VLOOKUP(RIGHT(I126,2), lookups!$B:$E,4,FALSE)</f>
        <v>541447</v>
      </c>
    </row>
    <row r="127" spans="8:11" x14ac:dyDescent="0.3">
      <c r="H127" t="s">
        <v>194</v>
      </c>
      <c r="I127" t="s">
        <v>334</v>
      </c>
      <c r="J127">
        <f>VLOOKUP(LEFT(I127,2), lookups!$B:$E,4,FALSE)</f>
        <v>1082379</v>
      </c>
      <c r="K127">
        <f>VLOOKUP(RIGHT(I127,2), lookups!$B:$E,4,FALSE)</f>
        <v>541447</v>
      </c>
    </row>
    <row r="128" spans="8:11" x14ac:dyDescent="0.3">
      <c r="H128" t="s">
        <v>195</v>
      </c>
      <c r="I128" t="s">
        <v>335</v>
      </c>
      <c r="J128">
        <f>VLOOKUP(LEFT(I128,2), lookups!$B:$E,4,FALSE)</f>
        <v>557831</v>
      </c>
      <c r="K128">
        <f>VLOOKUP(RIGHT(I128,2), lookups!$B:$E,4,FALSE)</f>
        <v>541447</v>
      </c>
    </row>
    <row r="129" spans="8:11" x14ac:dyDescent="0.3">
      <c r="H129" t="s">
        <v>196</v>
      </c>
      <c r="I129" t="s">
        <v>392</v>
      </c>
      <c r="J129">
        <f>VLOOKUP(LEFT(I129,2), lookups!$B:$E,4,FALSE)</f>
        <v>541447</v>
      </c>
      <c r="K129">
        <f>VLOOKUP(RIGHT(I129,2), lookups!$B:$E,4,FALSE)</f>
        <v>279045</v>
      </c>
    </row>
    <row r="130" spans="8:11" x14ac:dyDescent="0.3">
      <c r="H130" t="s">
        <v>197</v>
      </c>
      <c r="I130" t="s">
        <v>336</v>
      </c>
      <c r="J130">
        <f>VLOOKUP(LEFT(I130,2), lookups!$B:$E,4,FALSE)</f>
        <v>557831</v>
      </c>
      <c r="K130">
        <f>VLOOKUP(RIGHT(I130,2), lookups!$B:$E,4,FALSE)</f>
        <v>164099</v>
      </c>
    </row>
    <row r="131" spans="8:11" x14ac:dyDescent="0.3">
      <c r="H131" t="s">
        <v>198</v>
      </c>
      <c r="I131" t="s">
        <v>337</v>
      </c>
      <c r="J131">
        <f>VLOOKUP(LEFT(I131,2), lookups!$B:$E,4,FALSE)</f>
        <v>557831</v>
      </c>
      <c r="K131">
        <f>VLOOKUP(RIGHT(I131,2), lookups!$B:$E,4,FALSE)</f>
        <v>98306</v>
      </c>
    </row>
    <row r="132" spans="8:11" x14ac:dyDescent="0.3">
      <c r="H132" t="s">
        <v>199</v>
      </c>
      <c r="I132" t="s">
        <v>393</v>
      </c>
      <c r="J132">
        <f>VLOOKUP(LEFT(I132,2), lookups!$B:$E,4,FALSE)</f>
        <v>268471337</v>
      </c>
      <c r="K132">
        <f>VLOOKUP(RIGHT(I132,2), lookups!$B:$E,4,FALSE)</f>
        <v>279045</v>
      </c>
    </row>
    <row r="133" spans="8:11" x14ac:dyDescent="0.3">
      <c r="H133" t="s">
        <v>200</v>
      </c>
      <c r="I133" t="s">
        <v>394</v>
      </c>
      <c r="J133">
        <f>VLOOKUP(LEFT(I133,2), lookups!$B:$E,4,FALSE)</f>
        <v>134253349</v>
      </c>
      <c r="K133">
        <f>VLOOKUP(RIGHT(I133,2), lookups!$B:$E,4,FALSE)</f>
        <v>279045</v>
      </c>
    </row>
    <row r="134" spans="8:11" x14ac:dyDescent="0.3">
      <c r="H134" t="s">
        <v>201</v>
      </c>
      <c r="I134" t="s">
        <v>395</v>
      </c>
      <c r="J134">
        <f>VLOOKUP(LEFT(I134,2), lookups!$B:$E,4,FALSE)</f>
        <v>67144223</v>
      </c>
      <c r="K134">
        <f>VLOOKUP(RIGHT(I134,2), lookups!$B:$E,4,FALSE)</f>
        <v>279045</v>
      </c>
    </row>
    <row r="135" spans="8:11" x14ac:dyDescent="0.3">
      <c r="H135" t="s">
        <v>202</v>
      </c>
      <c r="I135" t="s">
        <v>396</v>
      </c>
      <c r="J135">
        <f>VLOOKUP(LEFT(I135,2), lookups!$B:$E,4,FALSE)</f>
        <v>33573149</v>
      </c>
      <c r="K135">
        <f>VLOOKUP(RIGHT(I135,2), lookups!$B:$E,4,FALSE)</f>
        <v>266757</v>
      </c>
    </row>
    <row r="136" spans="8:11" x14ac:dyDescent="0.3">
      <c r="H136" t="s">
        <v>203</v>
      </c>
      <c r="I136" t="s">
        <v>397</v>
      </c>
      <c r="J136">
        <f>VLOOKUP(LEFT(I136,2), lookups!$B:$E,4,FALSE)</f>
        <v>16812055</v>
      </c>
      <c r="K136">
        <f>VLOOKUP(RIGHT(I136,2), lookups!$B:$E,4,FALSE)</f>
        <v>279045</v>
      </c>
    </row>
    <row r="137" spans="8:11" x14ac:dyDescent="0.3">
      <c r="H137" t="s">
        <v>204</v>
      </c>
      <c r="I137" t="s">
        <v>398</v>
      </c>
      <c r="J137">
        <f>VLOOKUP(LEFT(I137,2), lookups!$B:$E,4,FALSE)</f>
        <v>8423187</v>
      </c>
      <c r="K137">
        <f>VLOOKUP(RIGHT(I137,2), lookups!$B:$E,4,FALSE)</f>
        <v>279045</v>
      </c>
    </row>
    <row r="138" spans="8:11" x14ac:dyDescent="0.3">
      <c r="H138" t="s">
        <v>205</v>
      </c>
      <c r="I138" t="s">
        <v>399</v>
      </c>
      <c r="J138">
        <f>VLOOKUP(LEFT(I138,2), lookups!$B:$E,4,FALSE)</f>
        <v>4228625</v>
      </c>
      <c r="K138">
        <f>VLOOKUP(RIGHT(I138,2), lookups!$B:$E,4,FALSE)</f>
        <v>279045</v>
      </c>
    </row>
    <row r="139" spans="8:11" x14ac:dyDescent="0.3">
      <c r="H139" t="s">
        <v>206</v>
      </c>
      <c r="I139" t="s">
        <v>400</v>
      </c>
      <c r="J139">
        <f>VLOOKUP(LEFT(I139,2), lookups!$B:$E,4,FALSE)</f>
        <v>2131213</v>
      </c>
      <c r="K139">
        <f>VLOOKUP(RIGHT(I139,2), lookups!$B:$E,4,FALSE)</f>
        <v>279045</v>
      </c>
    </row>
    <row r="140" spans="8:11" x14ac:dyDescent="0.3">
      <c r="H140" t="s">
        <v>207</v>
      </c>
      <c r="I140" t="s">
        <v>401</v>
      </c>
      <c r="J140">
        <f>VLOOKUP(LEFT(I140,2), lookups!$B:$E,4,FALSE)</f>
        <v>1082379</v>
      </c>
      <c r="K140">
        <f>VLOOKUP(RIGHT(I140,2), lookups!$B:$E,4,FALSE)</f>
        <v>279045</v>
      </c>
    </row>
    <row r="141" spans="8:11" x14ac:dyDescent="0.3">
      <c r="H141" t="s">
        <v>208</v>
      </c>
      <c r="I141" t="s">
        <v>402</v>
      </c>
      <c r="J141">
        <f>VLOOKUP(LEFT(I141,2), lookups!$B:$E,4,FALSE)</f>
        <v>557831</v>
      </c>
      <c r="K141">
        <f>VLOOKUP(RIGHT(I141,2), lookups!$B:$E,4,FALSE)</f>
        <v>279045</v>
      </c>
    </row>
    <row r="142" spans="8:11" x14ac:dyDescent="0.3">
      <c r="H142" t="s">
        <v>8</v>
      </c>
      <c r="I142" t="s">
        <v>403</v>
      </c>
      <c r="J142">
        <f>VLOOKUP(LEFT(I142,2), lookups!$B:$E,4,FALSE)</f>
        <v>279045</v>
      </c>
      <c r="K142">
        <f>VLOOKUP(RIGHT(I142,2), lookups!$B:$E,4,FALSE)</f>
        <v>266757</v>
      </c>
    </row>
    <row r="143" spans="8:11" x14ac:dyDescent="0.3">
      <c r="H143" t="s">
        <v>209</v>
      </c>
      <c r="I143" t="s">
        <v>404</v>
      </c>
      <c r="J143">
        <f>VLOOKUP(LEFT(I143,2), lookups!$B:$E,4,FALSE)</f>
        <v>279045</v>
      </c>
      <c r="K143">
        <f>VLOOKUP(RIGHT(I143,2), lookups!$B:$E,4,FALSE)</f>
        <v>147715</v>
      </c>
    </row>
    <row r="144" spans="8:11" x14ac:dyDescent="0.3">
      <c r="H144" t="s">
        <v>210</v>
      </c>
      <c r="I144" t="s">
        <v>405</v>
      </c>
      <c r="J144">
        <f>VLOOKUP(LEFT(I144,2), lookups!$B:$E,4,FALSE)</f>
        <v>279045</v>
      </c>
      <c r="K144">
        <f>VLOOKUP(RIGHT(I144,2), lookups!$B:$E,4,FALSE)</f>
        <v>81922</v>
      </c>
    </row>
    <row r="145" spans="8:11" x14ac:dyDescent="0.3">
      <c r="H145" t="s">
        <v>211</v>
      </c>
      <c r="I145" t="s">
        <v>338</v>
      </c>
      <c r="J145">
        <f>VLOOKUP(LEFT(I145,2), lookups!$B:$E,4,FALSE)</f>
        <v>268471337</v>
      </c>
      <c r="K145">
        <f>VLOOKUP(RIGHT(I145,2), lookups!$B:$E,4,FALSE)</f>
        <v>147715</v>
      </c>
    </row>
    <row r="146" spans="8:11" x14ac:dyDescent="0.3">
      <c r="H146" t="s">
        <v>212</v>
      </c>
      <c r="I146" t="s">
        <v>339</v>
      </c>
      <c r="J146">
        <f>VLOOKUP(LEFT(I146,2), lookups!$B:$E,4,FALSE)</f>
        <v>134253349</v>
      </c>
      <c r="K146">
        <f>VLOOKUP(RIGHT(I146,2), lookups!$B:$E,4,FALSE)</f>
        <v>147715</v>
      </c>
    </row>
    <row r="147" spans="8:11" x14ac:dyDescent="0.3">
      <c r="H147" t="s">
        <v>213</v>
      </c>
      <c r="I147" t="s">
        <v>340</v>
      </c>
      <c r="J147">
        <f>VLOOKUP(LEFT(I147,2), lookups!$B:$E,4,FALSE)</f>
        <v>67144223</v>
      </c>
      <c r="K147">
        <f>VLOOKUP(RIGHT(I147,2), lookups!$B:$E,4,FALSE)</f>
        <v>147715</v>
      </c>
    </row>
    <row r="148" spans="8:11" x14ac:dyDescent="0.3">
      <c r="H148" t="s">
        <v>214</v>
      </c>
      <c r="I148" t="s">
        <v>377</v>
      </c>
      <c r="J148">
        <f>VLOOKUP(LEFT(I148,2), lookups!$B:$E,4,FALSE)</f>
        <v>33573149</v>
      </c>
      <c r="K148">
        <f>VLOOKUP(RIGHT(I148,2), lookups!$B:$E,4,FALSE)</f>
        <v>164099</v>
      </c>
    </row>
    <row r="149" spans="8:11" x14ac:dyDescent="0.3">
      <c r="H149" t="s">
        <v>215</v>
      </c>
      <c r="I149" t="s">
        <v>341</v>
      </c>
      <c r="J149">
        <f>VLOOKUP(LEFT(I149,2), lookups!$B:$E,4,FALSE)</f>
        <v>16812055</v>
      </c>
      <c r="K149">
        <f>VLOOKUP(RIGHT(I149,2), lookups!$B:$E,4,FALSE)</f>
        <v>147715</v>
      </c>
    </row>
    <row r="150" spans="8:11" x14ac:dyDescent="0.3">
      <c r="H150" t="s">
        <v>216</v>
      </c>
      <c r="I150" t="s">
        <v>342</v>
      </c>
      <c r="J150">
        <f>VLOOKUP(LEFT(I150,2), lookups!$B:$E,4,FALSE)</f>
        <v>8423187</v>
      </c>
      <c r="K150">
        <f>VLOOKUP(RIGHT(I150,2), lookups!$B:$E,4,FALSE)</f>
        <v>147715</v>
      </c>
    </row>
    <row r="151" spans="8:11" x14ac:dyDescent="0.3">
      <c r="H151" t="s">
        <v>217</v>
      </c>
      <c r="I151" t="s">
        <v>343</v>
      </c>
      <c r="J151">
        <f>VLOOKUP(LEFT(I151,2), lookups!$B:$E,4,FALSE)</f>
        <v>4228625</v>
      </c>
      <c r="K151">
        <f>VLOOKUP(RIGHT(I151,2), lookups!$B:$E,4,FALSE)</f>
        <v>147715</v>
      </c>
    </row>
    <row r="152" spans="8:11" x14ac:dyDescent="0.3">
      <c r="H152" t="s">
        <v>218</v>
      </c>
      <c r="I152" t="s">
        <v>344</v>
      </c>
      <c r="J152">
        <f>VLOOKUP(LEFT(I152,2), lookups!$B:$E,4,FALSE)</f>
        <v>2131213</v>
      </c>
      <c r="K152">
        <f>VLOOKUP(RIGHT(I152,2), lookups!$B:$E,4,FALSE)</f>
        <v>147715</v>
      </c>
    </row>
    <row r="153" spans="8:11" x14ac:dyDescent="0.3">
      <c r="H153" t="s">
        <v>219</v>
      </c>
      <c r="I153" t="s">
        <v>345</v>
      </c>
      <c r="J153">
        <f>VLOOKUP(LEFT(I153,2), lookups!$B:$E,4,FALSE)</f>
        <v>1082379</v>
      </c>
      <c r="K153">
        <f>VLOOKUP(RIGHT(I153,2), lookups!$B:$E,4,FALSE)</f>
        <v>147715</v>
      </c>
    </row>
    <row r="154" spans="8:11" x14ac:dyDescent="0.3">
      <c r="H154" t="s">
        <v>220</v>
      </c>
      <c r="I154" t="s">
        <v>346</v>
      </c>
      <c r="J154">
        <f>VLOOKUP(LEFT(I154,2), lookups!$B:$E,4,FALSE)</f>
        <v>557831</v>
      </c>
      <c r="K154">
        <f>VLOOKUP(RIGHT(I154,2), lookups!$B:$E,4,FALSE)</f>
        <v>147715</v>
      </c>
    </row>
    <row r="155" spans="8:11" x14ac:dyDescent="0.3">
      <c r="H155" t="s">
        <v>221</v>
      </c>
      <c r="I155" t="s">
        <v>406</v>
      </c>
      <c r="J155">
        <f>VLOOKUP(LEFT(I155,2), lookups!$B:$E,4,FALSE)</f>
        <v>279045</v>
      </c>
      <c r="K155">
        <f>VLOOKUP(RIGHT(I155,2), lookups!$B:$E,4,FALSE)</f>
        <v>164099</v>
      </c>
    </row>
    <row r="156" spans="8:11" x14ac:dyDescent="0.3">
      <c r="H156" t="s">
        <v>222</v>
      </c>
      <c r="I156" t="s">
        <v>347</v>
      </c>
      <c r="J156">
        <f>VLOOKUP(LEFT(I156,2), lookups!$B:$E,4,FALSE)</f>
        <v>164099</v>
      </c>
      <c r="K156">
        <f>VLOOKUP(RIGHT(I156,2), lookups!$B:$E,4,FALSE)</f>
        <v>147715</v>
      </c>
    </row>
    <row r="157" spans="8:11" x14ac:dyDescent="0.3">
      <c r="H157" t="s">
        <v>223</v>
      </c>
      <c r="I157" t="s">
        <v>348</v>
      </c>
      <c r="J157">
        <f>VLOOKUP(LEFT(I157,2), lookups!$B:$E,4,FALSE)</f>
        <v>164099</v>
      </c>
      <c r="K157">
        <f>VLOOKUP(RIGHT(I157,2), lookups!$B:$E,4,FALSE)</f>
        <v>98306</v>
      </c>
    </row>
    <row r="158" spans="8:11" x14ac:dyDescent="0.3">
      <c r="H158" t="s">
        <v>224</v>
      </c>
      <c r="I158" t="s">
        <v>349</v>
      </c>
      <c r="J158">
        <f>VLOOKUP(LEFT(I158,2), lookups!$B:$E,4,FALSE)</f>
        <v>268471337</v>
      </c>
      <c r="K158">
        <f>VLOOKUP(RIGHT(I158,2), lookups!$B:$E,4,FALSE)</f>
        <v>81922</v>
      </c>
    </row>
    <row r="159" spans="8:11" x14ac:dyDescent="0.3">
      <c r="H159" t="s">
        <v>225</v>
      </c>
      <c r="I159" t="s">
        <v>350</v>
      </c>
      <c r="J159">
        <f>VLOOKUP(LEFT(I159,2), lookups!$B:$E,4,FALSE)</f>
        <v>134253349</v>
      </c>
      <c r="K159">
        <f>VLOOKUP(RIGHT(I159,2), lookups!$B:$E,4,FALSE)</f>
        <v>81922</v>
      </c>
    </row>
    <row r="160" spans="8:11" x14ac:dyDescent="0.3">
      <c r="H160" t="s">
        <v>226</v>
      </c>
      <c r="I160" t="s">
        <v>351</v>
      </c>
      <c r="J160">
        <f>VLOOKUP(LEFT(I160,2), lookups!$B:$E,4,FALSE)</f>
        <v>67144223</v>
      </c>
      <c r="K160">
        <f>VLOOKUP(RIGHT(I160,2), lookups!$B:$E,4,FALSE)</f>
        <v>81922</v>
      </c>
    </row>
    <row r="161" spans="8:11" x14ac:dyDescent="0.3">
      <c r="H161" t="s">
        <v>227</v>
      </c>
      <c r="I161" t="s">
        <v>378</v>
      </c>
      <c r="J161">
        <f>VLOOKUP(LEFT(I161,2), lookups!$B:$E,4,FALSE)</f>
        <v>33573149</v>
      </c>
      <c r="K161">
        <f>VLOOKUP(RIGHT(I161,2), lookups!$B:$E,4,FALSE)</f>
        <v>98306</v>
      </c>
    </row>
    <row r="162" spans="8:11" x14ac:dyDescent="0.3">
      <c r="H162" t="s">
        <v>228</v>
      </c>
      <c r="I162" t="s">
        <v>352</v>
      </c>
      <c r="J162">
        <f>VLOOKUP(LEFT(I162,2), lookups!$B:$E,4,FALSE)</f>
        <v>16812055</v>
      </c>
      <c r="K162">
        <f>VLOOKUP(RIGHT(I162,2), lookups!$B:$E,4,FALSE)</f>
        <v>81922</v>
      </c>
    </row>
    <row r="163" spans="8:11" x14ac:dyDescent="0.3">
      <c r="H163" t="s">
        <v>229</v>
      </c>
      <c r="I163" t="s">
        <v>353</v>
      </c>
      <c r="J163">
        <f>VLOOKUP(LEFT(I163,2), lookups!$B:$E,4,FALSE)</f>
        <v>8423187</v>
      </c>
      <c r="K163">
        <f>VLOOKUP(RIGHT(I163,2), lookups!$B:$E,4,FALSE)</f>
        <v>81922</v>
      </c>
    </row>
    <row r="164" spans="8:11" x14ac:dyDescent="0.3">
      <c r="H164" t="s">
        <v>230</v>
      </c>
      <c r="I164" t="s">
        <v>354</v>
      </c>
      <c r="J164">
        <f>VLOOKUP(LEFT(I164,2), lookups!$B:$E,4,FALSE)</f>
        <v>4228625</v>
      </c>
      <c r="K164">
        <f>VLOOKUP(RIGHT(I164,2), lookups!$B:$E,4,FALSE)</f>
        <v>81922</v>
      </c>
    </row>
    <row r="165" spans="8:11" x14ac:dyDescent="0.3">
      <c r="H165" t="s">
        <v>231</v>
      </c>
      <c r="I165" t="s">
        <v>355</v>
      </c>
      <c r="J165">
        <f>VLOOKUP(LEFT(I165,2), lookups!$B:$E,4,FALSE)</f>
        <v>2131213</v>
      </c>
      <c r="K165">
        <f>VLOOKUP(RIGHT(I165,2), lookups!$B:$E,4,FALSE)</f>
        <v>81922</v>
      </c>
    </row>
    <row r="166" spans="8:11" x14ac:dyDescent="0.3">
      <c r="H166" t="s">
        <v>232</v>
      </c>
      <c r="I166" t="s">
        <v>356</v>
      </c>
      <c r="J166">
        <f>VLOOKUP(LEFT(I166,2), lookups!$B:$E,4,FALSE)</f>
        <v>1082379</v>
      </c>
      <c r="K166">
        <f>VLOOKUP(RIGHT(I166,2), lookups!$B:$E,4,FALSE)</f>
        <v>81922</v>
      </c>
    </row>
    <row r="167" spans="8:11" x14ac:dyDescent="0.3">
      <c r="H167" t="s">
        <v>233</v>
      </c>
      <c r="I167" t="s">
        <v>357</v>
      </c>
      <c r="J167">
        <f>VLOOKUP(LEFT(I167,2), lookups!$B:$E,4,FALSE)</f>
        <v>557831</v>
      </c>
      <c r="K167">
        <f>VLOOKUP(RIGHT(I167,2), lookups!$B:$E,4,FALSE)</f>
        <v>81922</v>
      </c>
    </row>
    <row r="168" spans="8:11" x14ac:dyDescent="0.3">
      <c r="H168" t="s">
        <v>234</v>
      </c>
      <c r="I168" t="s">
        <v>407</v>
      </c>
      <c r="J168">
        <f>VLOOKUP(LEFT(I168,2), lookups!$B:$E,4,FALSE)</f>
        <v>279045</v>
      </c>
      <c r="K168">
        <f>VLOOKUP(RIGHT(I168,2), lookups!$B:$E,4,FALSE)</f>
        <v>98306</v>
      </c>
    </row>
    <row r="169" spans="8:11" x14ac:dyDescent="0.3">
      <c r="H169" t="s">
        <v>235</v>
      </c>
      <c r="I169" t="s">
        <v>358</v>
      </c>
      <c r="J169">
        <f>VLOOKUP(LEFT(I169,2), lookups!$B:$E,4,FALSE)</f>
        <v>164099</v>
      </c>
      <c r="K169">
        <f>VLOOKUP(RIGHT(I169,2), lookups!$B:$E,4,FALSE)</f>
        <v>81922</v>
      </c>
    </row>
    <row r="170" spans="8:11" x14ac:dyDescent="0.3">
      <c r="H170" t="s">
        <v>236</v>
      </c>
      <c r="I170" t="s">
        <v>359</v>
      </c>
      <c r="J170">
        <f>VLOOKUP(LEFT(I170,2), lookups!$B:$E,4,FALSE)</f>
        <v>98306</v>
      </c>
      <c r="K170">
        <f>VLOOKUP(RIGHT(I170,2), lookups!$B:$E,4,FALSE)</f>
        <v>81922</v>
      </c>
    </row>
  </sheetData>
  <pageMargins left="0.7" right="0.7" top="0.75" bottom="0.75" header="0.3" footer="0.3"/>
  <ignoredErrors>
    <ignoredError sqref="B6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ards_preflop">
                <anchor moveWithCells="1" sizeWithCells="1">
                  <from>
                    <xdr:col>15</xdr:col>
                    <xdr:colOff>144780</xdr:colOff>
                    <xdr:row>0</xdr:row>
                    <xdr:rowOff>137160</xdr:rowOff>
                  </from>
                  <to>
                    <xdr:col>17</xdr:col>
                    <xdr:colOff>144780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J12"/>
  <sheetViews>
    <sheetView workbookViewId="0">
      <selection activeCell="C2" sqref="C2"/>
    </sheetView>
  </sheetViews>
  <sheetFormatPr defaultRowHeight="14.4" x14ac:dyDescent="0.3"/>
  <cols>
    <col min="2" max="2" width="11.33203125" bestFit="1" customWidth="1"/>
    <col min="3" max="3" width="11.109375" bestFit="1" customWidth="1"/>
    <col min="4" max="5" width="10" bestFit="1" customWidth="1"/>
    <col min="7" max="7" width="10.21875" customWidth="1"/>
    <col min="8" max="8" width="10" bestFit="1" customWidth="1"/>
    <col min="10" max="10" width="9.88671875" bestFit="1" customWidth="1"/>
  </cols>
  <sheetData>
    <row r="1" spans="2:10" x14ac:dyDescent="0.3">
      <c r="B1" t="s">
        <v>69</v>
      </c>
      <c r="C1" t="s">
        <v>9</v>
      </c>
      <c r="D1" t="s">
        <v>457</v>
      </c>
      <c r="E1" t="s">
        <v>456</v>
      </c>
      <c r="G1" t="s">
        <v>0</v>
      </c>
      <c r="H1" t="s">
        <v>457</v>
      </c>
      <c r="I1" t="s">
        <v>456</v>
      </c>
      <c r="J1" t="s">
        <v>459</v>
      </c>
    </row>
    <row r="2" spans="2:10" x14ac:dyDescent="0.3">
      <c r="B2" t="s">
        <v>10</v>
      </c>
      <c r="C2" t="s">
        <v>2</v>
      </c>
      <c r="D2">
        <f>VLOOKUP(LEFT(C2,2), lookups!$B:$E,4,FALSE)</f>
        <v>268446761</v>
      </c>
      <c r="E2">
        <f>VLOOKUP(RIGHT(C2,2), lookups!$B:$E,4,FALSE)</f>
        <v>134228773</v>
      </c>
      <c r="G2" t="s">
        <v>3</v>
      </c>
      <c r="H2">
        <f>VLOOKUP(LEFT(G2,2), lookups!$B:$E,4,FALSE)</f>
        <v>134224677</v>
      </c>
      <c r="I2">
        <f>VLOOKUP(MID(G2,4,2), lookups!$B:$E,4,FALSE)</f>
        <v>4204049</v>
      </c>
      <c r="J2">
        <f>VLOOKUP(RIGHT(G2,2), lookups!$B:$E,4,FALSE)</f>
        <v>139523</v>
      </c>
    </row>
    <row r="3" spans="2:10" x14ac:dyDescent="0.3">
      <c r="B3" t="s">
        <v>11</v>
      </c>
      <c r="C3" t="s">
        <v>379</v>
      </c>
      <c r="D3">
        <f>VLOOKUP(LEFT(C3,2), lookups!$B:$E,4,FALSE)</f>
        <v>268446761</v>
      </c>
      <c r="E3">
        <f>VLOOKUP(RIGHT(C3,2), lookups!$B:$E,4,FALSE)</f>
        <v>67115551</v>
      </c>
    </row>
    <row r="4" spans="2:10" x14ac:dyDescent="0.3">
      <c r="B4" t="s">
        <v>4</v>
      </c>
      <c r="C4" t="s">
        <v>5</v>
      </c>
      <c r="D4">
        <f>VLOOKUP(LEFT(C4,2), lookups!$B:$E,4,FALSE)</f>
        <v>33589533</v>
      </c>
      <c r="E4">
        <f>VLOOKUP(RIGHT(C4,2), lookups!$B:$E,4,FALSE)</f>
        <v>33560861</v>
      </c>
    </row>
    <row r="5" spans="2:10" x14ac:dyDescent="0.3">
      <c r="B5" t="s">
        <v>6</v>
      </c>
      <c r="C5" t="s">
        <v>7</v>
      </c>
      <c r="D5">
        <f>VLOOKUP(LEFT(C5,2), lookups!$B:$E,4,FALSE)</f>
        <v>33560861</v>
      </c>
      <c r="E5">
        <f>VLOOKUP(RIGHT(C5,2), lookups!$B:$E,4,FALSE)</f>
        <v>16783383</v>
      </c>
    </row>
    <row r="6" spans="2:10" x14ac:dyDescent="0.3">
      <c r="B6" s="1" t="s">
        <v>8</v>
      </c>
      <c r="C6" t="s">
        <v>382</v>
      </c>
      <c r="D6">
        <f>VLOOKUP(LEFT(C6,2), lookups!$B:$E,4,FALSE)</f>
        <v>295429</v>
      </c>
      <c r="E6">
        <f>VLOOKUP(RIGHT(C6,2), lookups!$B:$E,4,FALSE)</f>
        <v>270853</v>
      </c>
    </row>
    <row r="12" spans="2:10" x14ac:dyDescent="0.3">
      <c r="C12" s="1" t="s">
        <v>458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N6"/>
  <sheetViews>
    <sheetView tabSelected="1" workbookViewId="0">
      <selection activeCell="I12" sqref="I12"/>
    </sheetView>
  </sheetViews>
  <sheetFormatPr defaultRowHeight="14.4" x14ac:dyDescent="0.3"/>
  <cols>
    <col min="2" max="2" width="11.33203125" bestFit="1" customWidth="1"/>
    <col min="3" max="3" width="12.33203125" customWidth="1"/>
    <col min="7" max="7" width="8.21875" bestFit="1" customWidth="1"/>
    <col min="8" max="8" width="8.21875" customWidth="1"/>
    <col min="9" max="9" width="10" bestFit="1" customWidth="1"/>
    <col min="10" max="10" width="8.77734375" bestFit="1" customWidth="1"/>
    <col min="11" max="11" width="9.88671875" bestFit="1" customWidth="1"/>
    <col min="13" max="14" width="10" bestFit="1" customWidth="1"/>
  </cols>
  <sheetData>
    <row r="1" spans="2:14" x14ac:dyDescent="0.3">
      <c r="B1" t="s">
        <v>69</v>
      </c>
      <c r="C1" t="s">
        <v>9</v>
      </c>
      <c r="D1" t="s">
        <v>0</v>
      </c>
      <c r="H1" t="s">
        <v>1</v>
      </c>
      <c r="I1" t="s">
        <v>457</v>
      </c>
      <c r="J1" t="s">
        <v>456</v>
      </c>
      <c r="K1" t="s">
        <v>459</v>
      </c>
      <c r="M1" t="s">
        <v>457</v>
      </c>
      <c r="N1" t="s">
        <v>456</v>
      </c>
    </row>
    <row r="2" spans="2:14" x14ac:dyDescent="0.3">
      <c r="B2" t="s">
        <v>10</v>
      </c>
      <c r="C2" t="s">
        <v>2</v>
      </c>
      <c r="D2" t="s">
        <v>3</v>
      </c>
      <c r="I2">
        <f>VLOOKUP(LEFT(D2,2), lookups!$B:$E,4,FALSE)</f>
        <v>134224677</v>
      </c>
      <c r="J2">
        <f>VLOOKUP(MID(D2,4,2), lookups!$B:$E,4,FALSE)</f>
        <v>4204049</v>
      </c>
      <c r="K2">
        <f>VLOOKUP(RIGHT(D2,2), lookups!$B:$E,4,FALSE)</f>
        <v>139523</v>
      </c>
      <c r="M2">
        <f>VLOOKUP(LEFT(C2,2), lookups!$B:$E,4,FALSE)</f>
        <v>268446761</v>
      </c>
      <c r="N2">
        <f>VLOOKUP(RIGHT(C2,2), lookups!$B:$E,4,FALSE)</f>
        <v>134228773</v>
      </c>
    </row>
    <row r="3" spans="2:14" x14ac:dyDescent="0.3">
      <c r="B3" t="s">
        <v>11</v>
      </c>
      <c r="C3" t="s">
        <v>379</v>
      </c>
      <c r="M3">
        <f>VLOOKUP(LEFT(C3,2), lookups!$B:$E,4,FALSE)</f>
        <v>268446761</v>
      </c>
      <c r="N3">
        <f>VLOOKUP(RIGHT(C3,2), lookups!$B:$E,4,FALSE)</f>
        <v>67115551</v>
      </c>
    </row>
    <row r="4" spans="2:14" x14ac:dyDescent="0.3">
      <c r="B4" t="s">
        <v>4</v>
      </c>
      <c r="C4" t="s">
        <v>5</v>
      </c>
      <c r="M4">
        <f>VLOOKUP(LEFT(C4,2), lookups!$B:$E,4,FALSE)</f>
        <v>33589533</v>
      </c>
      <c r="N4">
        <f>VLOOKUP(RIGHT(C4,2), lookups!$B:$E,4,FALSE)</f>
        <v>33560861</v>
      </c>
    </row>
    <row r="5" spans="2:14" x14ac:dyDescent="0.3">
      <c r="B5" t="s">
        <v>6</v>
      </c>
      <c r="C5" t="s">
        <v>7</v>
      </c>
      <c r="M5">
        <f>VLOOKUP(LEFT(C5,2), lookups!$B:$E,4,FALSE)</f>
        <v>33560861</v>
      </c>
      <c r="N5">
        <f>VLOOKUP(RIGHT(C5,2), lookups!$B:$E,4,FALSE)</f>
        <v>16783383</v>
      </c>
    </row>
    <row r="6" spans="2:14" x14ac:dyDescent="0.3">
      <c r="B6" s="1" t="s">
        <v>8</v>
      </c>
      <c r="C6" t="s">
        <v>382</v>
      </c>
      <c r="M6">
        <f>VLOOKUP(LEFT(C6,2), lookups!$B:$E,4,FALSE)</f>
        <v>295429</v>
      </c>
      <c r="N6">
        <f>VLOOKUP(RIGHT(C6,2), lookups!$B:$E,4,FALSE)</f>
        <v>270853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G1327"/>
  <sheetViews>
    <sheetView workbookViewId="0">
      <selection activeCell="E15" sqref="E15"/>
    </sheetView>
  </sheetViews>
  <sheetFormatPr defaultRowHeight="14.4" x14ac:dyDescent="0.3"/>
  <cols>
    <col min="4" max="4" width="9.109375" bestFit="1" customWidth="1"/>
    <col min="5" max="5" width="9.33203125" bestFit="1" customWidth="1"/>
    <col min="6" max="6" width="12.33203125" bestFit="1" customWidth="1"/>
    <col min="7" max="7" width="12.5546875" bestFit="1" customWidth="1"/>
  </cols>
  <sheetData>
    <row r="1" spans="2:7" x14ac:dyDescent="0.3">
      <c r="B1" t="s">
        <v>70</v>
      </c>
      <c r="C1" t="s">
        <v>71</v>
      </c>
      <c r="D1" t="s">
        <v>13</v>
      </c>
      <c r="E1" t="s">
        <v>14</v>
      </c>
      <c r="F1" t="s">
        <v>15</v>
      </c>
      <c r="G1" t="s">
        <v>16</v>
      </c>
    </row>
    <row r="2" spans="2:7" x14ac:dyDescent="0.3">
      <c r="B2" t="str">
        <f>LEFT(D2,1)&amp;LEFT(E2,1)&amp;IF(LEFT(D2,1)=LEFT(E2,1), "", IF(RIGHT(D2,1)=RIGHT(E2,1), "s", "o"))</f>
        <v>AA</v>
      </c>
      <c r="C2" t="str">
        <f>UPPER(D2&amp;" "&amp;E2)</f>
        <v>AC AD</v>
      </c>
      <c r="D2" t="s">
        <v>17</v>
      </c>
      <c r="E2" t="s">
        <v>18</v>
      </c>
      <c r="F2">
        <v>268471337</v>
      </c>
      <c r="G2">
        <v>268454953</v>
      </c>
    </row>
    <row r="3" spans="2:7" x14ac:dyDescent="0.3">
      <c r="B3" t="str">
        <f t="shared" ref="B3:B66" si="0">LEFT(D3,1)&amp;LEFT(E3,1)&amp;IF(LEFT(D3,1)=LEFT(E3,1), "", IF(RIGHT(D3,1)=RIGHT(E3,1), "s", "o"))</f>
        <v>AA</v>
      </c>
      <c r="C3" t="str">
        <f t="shared" ref="C3:C66" si="1">UPPER(D3&amp;" "&amp;E3)</f>
        <v>AC AH</v>
      </c>
      <c r="D3" t="s">
        <v>17</v>
      </c>
      <c r="E3" t="s">
        <v>19</v>
      </c>
      <c r="F3">
        <v>268471337</v>
      </c>
      <c r="G3">
        <v>268446761</v>
      </c>
    </row>
    <row r="4" spans="2:7" x14ac:dyDescent="0.3">
      <c r="B4" t="str">
        <f t="shared" si="0"/>
        <v>AA</v>
      </c>
      <c r="C4" t="str">
        <f t="shared" si="1"/>
        <v>AC AS</v>
      </c>
      <c r="D4" t="s">
        <v>17</v>
      </c>
      <c r="E4" t="s">
        <v>20</v>
      </c>
      <c r="F4">
        <v>268471337</v>
      </c>
      <c r="G4">
        <v>268442665</v>
      </c>
    </row>
    <row r="5" spans="2:7" x14ac:dyDescent="0.3">
      <c r="B5" t="str">
        <f t="shared" si="0"/>
        <v>AA</v>
      </c>
      <c r="C5" t="str">
        <f t="shared" si="1"/>
        <v>AD AH</v>
      </c>
      <c r="D5" t="s">
        <v>18</v>
      </c>
      <c r="E5" t="s">
        <v>19</v>
      </c>
      <c r="F5">
        <v>268454953</v>
      </c>
      <c r="G5">
        <v>268446761</v>
      </c>
    </row>
    <row r="6" spans="2:7" x14ac:dyDescent="0.3">
      <c r="B6" t="str">
        <f t="shared" si="0"/>
        <v>AA</v>
      </c>
      <c r="C6" t="str">
        <f t="shared" si="1"/>
        <v>AD AS</v>
      </c>
      <c r="D6" t="s">
        <v>18</v>
      </c>
      <c r="E6" t="s">
        <v>20</v>
      </c>
      <c r="F6">
        <v>268454953</v>
      </c>
      <c r="G6">
        <v>268442665</v>
      </c>
    </row>
    <row r="7" spans="2:7" x14ac:dyDescent="0.3">
      <c r="B7" t="str">
        <f t="shared" si="0"/>
        <v>AA</v>
      </c>
      <c r="C7" t="str">
        <f t="shared" si="1"/>
        <v>AH AS</v>
      </c>
      <c r="D7" t="s">
        <v>19</v>
      </c>
      <c r="E7" t="s">
        <v>20</v>
      </c>
      <c r="F7">
        <v>268446761</v>
      </c>
      <c r="G7">
        <v>268442665</v>
      </c>
    </row>
    <row r="8" spans="2:7" x14ac:dyDescent="0.3">
      <c r="B8" t="str">
        <f t="shared" si="0"/>
        <v>AKs</v>
      </c>
      <c r="C8" t="str">
        <f t="shared" si="1"/>
        <v>AC KC</v>
      </c>
      <c r="D8" t="s">
        <v>17</v>
      </c>
      <c r="E8" t="s">
        <v>21</v>
      </c>
      <c r="F8">
        <v>268471337</v>
      </c>
      <c r="G8">
        <v>134253349</v>
      </c>
    </row>
    <row r="9" spans="2:7" x14ac:dyDescent="0.3">
      <c r="B9" t="str">
        <f t="shared" si="0"/>
        <v>AKs</v>
      </c>
      <c r="C9" t="str">
        <f t="shared" si="1"/>
        <v>AD KD</v>
      </c>
      <c r="D9" t="s">
        <v>18</v>
      </c>
      <c r="E9" t="s">
        <v>22</v>
      </c>
      <c r="F9">
        <v>268454953</v>
      </c>
      <c r="G9">
        <v>134236965</v>
      </c>
    </row>
    <row r="10" spans="2:7" x14ac:dyDescent="0.3">
      <c r="B10" t="str">
        <f t="shared" si="0"/>
        <v>AKs</v>
      </c>
      <c r="C10" t="str">
        <f t="shared" si="1"/>
        <v>AH KH</v>
      </c>
      <c r="D10" t="s">
        <v>19</v>
      </c>
      <c r="E10" t="s">
        <v>23</v>
      </c>
      <c r="F10">
        <v>268446761</v>
      </c>
      <c r="G10">
        <v>134228773</v>
      </c>
    </row>
    <row r="11" spans="2:7" x14ac:dyDescent="0.3">
      <c r="B11" t="str">
        <f t="shared" si="0"/>
        <v>AKs</v>
      </c>
      <c r="C11" t="str">
        <f t="shared" si="1"/>
        <v>AS KS</v>
      </c>
      <c r="D11" t="s">
        <v>20</v>
      </c>
      <c r="E11" t="s">
        <v>24</v>
      </c>
      <c r="F11">
        <v>268442665</v>
      </c>
      <c r="G11">
        <v>134224677</v>
      </c>
    </row>
    <row r="12" spans="2:7" x14ac:dyDescent="0.3">
      <c r="B12" t="str">
        <f t="shared" si="0"/>
        <v>AQs</v>
      </c>
      <c r="C12" t="str">
        <f t="shared" si="1"/>
        <v>AC QC</v>
      </c>
      <c r="D12" t="s">
        <v>17</v>
      </c>
      <c r="E12" t="s">
        <v>25</v>
      </c>
      <c r="F12">
        <v>268471337</v>
      </c>
      <c r="G12">
        <v>67144223</v>
      </c>
    </row>
    <row r="13" spans="2:7" x14ac:dyDescent="0.3">
      <c r="B13" t="str">
        <f t="shared" si="0"/>
        <v>AQs</v>
      </c>
      <c r="C13" t="str">
        <f t="shared" si="1"/>
        <v>AD QD</v>
      </c>
      <c r="D13" t="s">
        <v>18</v>
      </c>
      <c r="E13" t="s">
        <v>26</v>
      </c>
      <c r="F13">
        <v>268454953</v>
      </c>
      <c r="G13">
        <v>67127839</v>
      </c>
    </row>
    <row r="14" spans="2:7" x14ac:dyDescent="0.3">
      <c r="B14" t="str">
        <f t="shared" si="0"/>
        <v>AQs</v>
      </c>
      <c r="C14" t="str">
        <f t="shared" si="1"/>
        <v>AH QH</v>
      </c>
      <c r="D14" t="s">
        <v>19</v>
      </c>
      <c r="E14" t="s">
        <v>27</v>
      </c>
      <c r="F14">
        <v>268446761</v>
      </c>
      <c r="G14">
        <v>67119647</v>
      </c>
    </row>
    <row r="15" spans="2:7" x14ac:dyDescent="0.3">
      <c r="B15" t="str">
        <f t="shared" si="0"/>
        <v>AQs</v>
      </c>
      <c r="C15" t="str">
        <f t="shared" si="1"/>
        <v>AS QS</v>
      </c>
      <c r="D15" t="s">
        <v>20</v>
      </c>
      <c r="E15" t="s">
        <v>28</v>
      </c>
      <c r="F15">
        <v>268442665</v>
      </c>
      <c r="G15">
        <v>67115551</v>
      </c>
    </row>
    <row r="16" spans="2:7" x14ac:dyDescent="0.3">
      <c r="B16" t="str">
        <f t="shared" si="0"/>
        <v>AJs</v>
      </c>
      <c r="C16" t="str">
        <f t="shared" si="1"/>
        <v>AC JC</v>
      </c>
      <c r="D16" t="s">
        <v>17</v>
      </c>
      <c r="E16" t="s">
        <v>29</v>
      </c>
      <c r="F16">
        <v>268471337</v>
      </c>
      <c r="G16">
        <v>33589533</v>
      </c>
    </row>
    <row r="17" spans="2:7" x14ac:dyDescent="0.3">
      <c r="B17" t="str">
        <f t="shared" si="0"/>
        <v>AJs</v>
      </c>
      <c r="C17" t="str">
        <f t="shared" si="1"/>
        <v>AD JD</v>
      </c>
      <c r="D17" t="s">
        <v>18</v>
      </c>
      <c r="E17" t="s">
        <v>30</v>
      </c>
      <c r="F17">
        <v>268454953</v>
      </c>
      <c r="G17">
        <v>33573149</v>
      </c>
    </row>
    <row r="18" spans="2:7" x14ac:dyDescent="0.3">
      <c r="B18" t="str">
        <f t="shared" si="0"/>
        <v>AJs</v>
      </c>
      <c r="C18" t="str">
        <f t="shared" si="1"/>
        <v>AH JH</v>
      </c>
      <c r="D18" t="s">
        <v>19</v>
      </c>
      <c r="E18" t="s">
        <v>31</v>
      </c>
      <c r="F18">
        <v>268446761</v>
      </c>
      <c r="G18">
        <v>33564957</v>
      </c>
    </row>
    <row r="19" spans="2:7" x14ac:dyDescent="0.3">
      <c r="B19" t="str">
        <f t="shared" si="0"/>
        <v>AJs</v>
      </c>
      <c r="C19" t="str">
        <f t="shared" si="1"/>
        <v>AS JS</v>
      </c>
      <c r="D19" t="s">
        <v>20</v>
      </c>
      <c r="E19" t="s">
        <v>32</v>
      </c>
      <c r="F19">
        <v>268442665</v>
      </c>
      <c r="G19">
        <v>33560861</v>
      </c>
    </row>
    <row r="20" spans="2:7" x14ac:dyDescent="0.3">
      <c r="B20" t="str">
        <f t="shared" si="0"/>
        <v>ATs</v>
      </c>
      <c r="C20" t="str">
        <f t="shared" si="1"/>
        <v>AC TC</v>
      </c>
      <c r="D20" t="s">
        <v>17</v>
      </c>
      <c r="E20" t="s">
        <v>33</v>
      </c>
      <c r="F20">
        <v>268471337</v>
      </c>
      <c r="G20">
        <v>16812055</v>
      </c>
    </row>
    <row r="21" spans="2:7" x14ac:dyDescent="0.3">
      <c r="B21" t="str">
        <f t="shared" si="0"/>
        <v>ATs</v>
      </c>
      <c r="C21" t="str">
        <f t="shared" si="1"/>
        <v>AD TD</v>
      </c>
      <c r="D21" t="s">
        <v>18</v>
      </c>
      <c r="E21" t="s">
        <v>34</v>
      </c>
      <c r="F21">
        <v>268454953</v>
      </c>
      <c r="G21">
        <v>16795671</v>
      </c>
    </row>
    <row r="22" spans="2:7" x14ac:dyDescent="0.3">
      <c r="B22" t="str">
        <f t="shared" si="0"/>
        <v>ATs</v>
      </c>
      <c r="C22" t="str">
        <f t="shared" si="1"/>
        <v>AH TH</v>
      </c>
      <c r="D22" t="s">
        <v>19</v>
      </c>
      <c r="E22" t="s">
        <v>35</v>
      </c>
      <c r="F22">
        <v>268446761</v>
      </c>
      <c r="G22">
        <v>16787479</v>
      </c>
    </row>
    <row r="23" spans="2:7" x14ac:dyDescent="0.3">
      <c r="B23" t="str">
        <f t="shared" si="0"/>
        <v>ATs</v>
      </c>
      <c r="C23" t="str">
        <f t="shared" si="1"/>
        <v>AS TS</v>
      </c>
      <c r="D23" t="s">
        <v>20</v>
      </c>
      <c r="E23" t="s">
        <v>36</v>
      </c>
      <c r="F23">
        <v>268442665</v>
      </c>
      <c r="G23">
        <v>16783383</v>
      </c>
    </row>
    <row r="24" spans="2:7" x14ac:dyDescent="0.3">
      <c r="B24" t="str">
        <f t="shared" si="0"/>
        <v>A9s</v>
      </c>
      <c r="C24" t="str">
        <f t="shared" si="1"/>
        <v>AC 9C</v>
      </c>
      <c r="D24" t="s">
        <v>17</v>
      </c>
      <c r="E24" t="s">
        <v>37</v>
      </c>
      <c r="F24">
        <v>268471337</v>
      </c>
      <c r="G24">
        <v>8423187</v>
      </c>
    </row>
    <row r="25" spans="2:7" x14ac:dyDescent="0.3">
      <c r="B25" t="str">
        <f t="shared" si="0"/>
        <v>A9s</v>
      </c>
      <c r="C25" t="str">
        <f t="shared" si="1"/>
        <v>AD 9D</v>
      </c>
      <c r="D25" t="s">
        <v>18</v>
      </c>
      <c r="E25" t="s">
        <v>38</v>
      </c>
      <c r="F25">
        <v>268454953</v>
      </c>
      <c r="G25">
        <v>8406803</v>
      </c>
    </row>
    <row r="26" spans="2:7" x14ac:dyDescent="0.3">
      <c r="B26" t="str">
        <f t="shared" si="0"/>
        <v>A9s</v>
      </c>
      <c r="C26" t="str">
        <f t="shared" si="1"/>
        <v>AH 9H</v>
      </c>
      <c r="D26" t="s">
        <v>19</v>
      </c>
      <c r="E26" t="s">
        <v>39</v>
      </c>
      <c r="F26">
        <v>268446761</v>
      </c>
      <c r="G26">
        <v>8398611</v>
      </c>
    </row>
    <row r="27" spans="2:7" x14ac:dyDescent="0.3">
      <c r="B27" t="str">
        <f t="shared" si="0"/>
        <v>A9s</v>
      </c>
      <c r="C27" t="str">
        <f t="shared" si="1"/>
        <v>AS 9S</v>
      </c>
      <c r="D27" t="s">
        <v>20</v>
      </c>
      <c r="E27" t="s">
        <v>40</v>
      </c>
      <c r="F27">
        <v>268442665</v>
      </c>
      <c r="G27">
        <v>8394515</v>
      </c>
    </row>
    <row r="28" spans="2:7" x14ac:dyDescent="0.3">
      <c r="B28" t="str">
        <f t="shared" si="0"/>
        <v>A8s</v>
      </c>
      <c r="C28" t="str">
        <f t="shared" si="1"/>
        <v>AC 8C</v>
      </c>
      <c r="D28" t="s">
        <v>17</v>
      </c>
      <c r="E28" t="s">
        <v>41</v>
      </c>
      <c r="F28">
        <v>268471337</v>
      </c>
      <c r="G28">
        <v>4228625</v>
      </c>
    </row>
    <row r="29" spans="2:7" x14ac:dyDescent="0.3">
      <c r="B29" t="str">
        <f t="shared" si="0"/>
        <v>A8s</v>
      </c>
      <c r="C29" t="str">
        <f t="shared" si="1"/>
        <v>AD 8D</v>
      </c>
      <c r="D29" t="s">
        <v>18</v>
      </c>
      <c r="E29" t="s">
        <v>42</v>
      </c>
      <c r="F29">
        <v>268454953</v>
      </c>
      <c r="G29">
        <v>4212241</v>
      </c>
    </row>
    <row r="30" spans="2:7" x14ac:dyDescent="0.3">
      <c r="B30" t="str">
        <f t="shared" si="0"/>
        <v>A8s</v>
      </c>
      <c r="C30" t="str">
        <f t="shared" si="1"/>
        <v>AH 8H</v>
      </c>
      <c r="D30" t="s">
        <v>19</v>
      </c>
      <c r="E30" t="s">
        <v>43</v>
      </c>
      <c r="F30">
        <v>268446761</v>
      </c>
      <c r="G30">
        <v>4204049</v>
      </c>
    </row>
    <row r="31" spans="2:7" x14ac:dyDescent="0.3">
      <c r="B31" t="str">
        <f t="shared" si="0"/>
        <v>A8s</v>
      </c>
      <c r="C31" t="str">
        <f t="shared" si="1"/>
        <v>AS 8S</v>
      </c>
      <c r="D31" t="s">
        <v>20</v>
      </c>
      <c r="E31" t="s">
        <v>44</v>
      </c>
      <c r="F31">
        <v>268442665</v>
      </c>
      <c r="G31">
        <v>4199953</v>
      </c>
    </row>
    <row r="32" spans="2:7" x14ac:dyDescent="0.3">
      <c r="B32" t="str">
        <f t="shared" si="0"/>
        <v>A7s</v>
      </c>
      <c r="C32" t="str">
        <f t="shared" si="1"/>
        <v>AC 7C</v>
      </c>
      <c r="D32" t="s">
        <v>17</v>
      </c>
      <c r="E32" t="s">
        <v>45</v>
      </c>
      <c r="F32">
        <v>268471337</v>
      </c>
      <c r="G32">
        <v>2131213</v>
      </c>
    </row>
    <row r="33" spans="2:7" x14ac:dyDescent="0.3">
      <c r="B33" t="str">
        <f t="shared" si="0"/>
        <v>A7s</v>
      </c>
      <c r="C33" t="str">
        <f t="shared" si="1"/>
        <v>AD 7D</v>
      </c>
      <c r="D33" t="s">
        <v>18</v>
      </c>
      <c r="E33" t="s">
        <v>46</v>
      </c>
      <c r="F33">
        <v>268454953</v>
      </c>
      <c r="G33">
        <v>2114829</v>
      </c>
    </row>
    <row r="34" spans="2:7" x14ac:dyDescent="0.3">
      <c r="B34" t="str">
        <f t="shared" si="0"/>
        <v>A7s</v>
      </c>
      <c r="C34" t="str">
        <f t="shared" si="1"/>
        <v>AH 7H</v>
      </c>
      <c r="D34" t="s">
        <v>19</v>
      </c>
      <c r="E34" t="s">
        <v>47</v>
      </c>
      <c r="F34">
        <v>268446761</v>
      </c>
      <c r="G34">
        <v>2106637</v>
      </c>
    </row>
    <row r="35" spans="2:7" x14ac:dyDescent="0.3">
      <c r="B35" t="str">
        <f t="shared" si="0"/>
        <v>A7s</v>
      </c>
      <c r="C35" t="str">
        <f t="shared" si="1"/>
        <v>AS 7S</v>
      </c>
      <c r="D35" t="s">
        <v>20</v>
      </c>
      <c r="E35" t="s">
        <v>48</v>
      </c>
      <c r="F35">
        <v>268442665</v>
      </c>
      <c r="G35">
        <v>2102541</v>
      </c>
    </row>
    <row r="36" spans="2:7" x14ac:dyDescent="0.3">
      <c r="B36" t="str">
        <f t="shared" si="0"/>
        <v>A6s</v>
      </c>
      <c r="C36" t="str">
        <f t="shared" si="1"/>
        <v>AC 6C</v>
      </c>
      <c r="D36" t="s">
        <v>17</v>
      </c>
      <c r="E36" t="s">
        <v>49</v>
      </c>
      <c r="F36">
        <v>268471337</v>
      </c>
      <c r="G36">
        <v>1082379</v>
      </c>
    </row>
    <row r="37" spans="2:7" x14ac:dyDescent="0.3">
      <c r="B37" t="str">
        <f t="shared" si="0"/>
        <v>A6s</v>
      </c>
      <c r="C37" t="str">
        <f t="shared" si="1"/>
        <v>AD 6D</v>
      </c>
      <c r="D37" t="s">
        <v>18</v>
      </c>
      <c r="E37" t="s">
        <v>50</v>
      </c>
      <c r="F37">
        <v>268454953</v>
      </c>
      <c r="G37">
        <v>1065995</v>
      </c>
    </row>
    <row r="38" spans="2:7" x14ac:dyDescent="0.3">
      <c r="B38" t="str">
        <f t="shared" si="0"/>
        <v>A6s</v>
      </c>
      <c r="C38" t="str">
        <f t="shared" si="1"/>
        <v>AH 6H</v>
      </c>
      <c r="D38" t="s">
        <v>19</v>
      </c>
      <c r="E38" t="s">
        <v>51</v>
      </c>
      <c r="F38">
        <v>268446761</v>
      </c>
      <c r="G38">
        <v>1057803</v>
      </c>
    </row>
    <row r="39" spans="2:7" x14ac:dyDescent="0.3">
      <c r="B39" t="str">
        <f t="shared" si="0"/>
        <v>A6s</v>
      </c>
      <c r="C39" t="str">
        <f t="shared" si="1"/>
        <v>AS 6S</v>
      </c>
      <c r="D39" t="s">
        <v>20</v>
      </c>
      <c r="E39" t="s">
        <v>52</v>
      </c>
      <c r="F39">
        <v>268442665</v>
      </c>
      <c r="G39">
        <v>1053707</v>
      </c>
    </row>
    <row r="40" spans="2:7" x14ac:dyDescent="0.3">
      <c r="B40" t="str">
        <f t="shared" si="0"/>
        <v>A5s</v>
      </c>
      <c r="C40" t="str">
        <f t="shared" si="1"/>
        <v>AC 5C</v>
      </c>
      <c r="D40" t="s">
        <v>17</v>
      </c>
      <c r="E40" t="s">
        <v>53</v>
      </c>
      <c r="F40">
        <v>268471337</v>
      </c>
      <c r="G40">
        <v>557831</v>
      </c>
    </row>
    <row r="41" spans="2:7" x14ac:dyDescent="0.3">
      <c r="B41" t="str">
        <f t="shared" si="0"/>
        <v>A5s</v>
      </c>
      <c r="C41" t="str">
        <f t="shared" si="1"/>
        <v>AD 5D</v>
      </c>
      <c r="D41" t="s">
        <v>18</v>
      </c>
      <c r="E41" t="s">
        <v>54</v>
      </c>
      <c r="F41">
        <v>268454953</v>
      </c>
      <c r="G41">
        <v>541447</v>
      </c>
    </row>
    <row r="42" spans="2:7" x14ac:dyDescent="0.3">
      <c r="B42" t="str">
        <f t="shared" si="0"/>
        <v>A5s</v>
      </c>
      <c r="C42" t="str">
        <f t="shared" si="1"/>
        <v>AH 5H</v>
      </c>
      <c r="D42" t="s">
        <v>19</v>
      </c>
      <c r="E42" t="s">
        <v>55</v>
      </c>
      <c r="F42">
        <v>268446761</v>
      </c>
      <c r="G42">
        <v>533255</v>
      </c>
    </row>
    <row r="43" spans="2:7" x14ac:dyDescent="0.3">
      <c r="B43" t="str">
        <f t="shared" si="0"/>
        <v>A5s</v>
      </c>
      <c r="C43" t="str">
        <f t="shared" si="1"/>
        <v>AS 5S</v>
      </c>
      <c r="D43" t="s">
        <v>20</v>
      </c>
      <c r="E43" t="s">
        <v>56</v>
      </c>
      <c r="F43">
        <v>268442665</v>
      </c>
      <c r="G43">
        <v>529159</v>
      </c>
    </row>
    <row r="44" spans="2:7" x14ac:dyDescent="0.3">
      <c r="B44" t="str">
        <f t="shared" si="0"/>
        <v>A4s</v>
      </c>
      <c r="C44" t="str">
        <f t="shared" si="1"/>
        <v>AC 4C</v>
      </c>
      <c r="D44" t="s">
        <v>17</v>
      </c>
      <c r="E44" t="s">
        <v>57</v>
      </c>
      <c r="F44">
        <v>268471337</v>
      </c>
      <c r="G44">
        <v>295429</v>
      </c>
    </row>
    <row r="45" spans="2:7" x14ac:dyDescent="0.3">
      <c r="B45" t="str">
        <f t="shared" si="0"/>
        <v>A4s</v>
      </c>
      <c r="C45" t="str">
        <f t="shared" si="1"/>
        <v>AD 4D</v>
      </c>
      <c r="D45" t="s">
        <v>18</v>
      </c>
      <c r="E45" t="s">
        <v>58</v>
      </c>
      <c r="F45">
        <v>268454953</v>
      </c>
      <c r="G45">
        <v>279045</v>
      </c>
    </row>
    <row r="46" spans="2:7" x14ac:dyDescent="0.3">
      <c r="B46" t="str">
        <f t="shared" si="0"/>
        <v>A4s</v>
      </c>
      <c r="C46" t="str">
        <f t="shared" si="1"/>
        <v>AH 4H</v>
      </c>
      <c r="D46" t="s">
        <v>19</v>
      </c>
      <c r="E46" t="s">
        <v>59</v>
      </c>
      <c r="F46">
        <v>268446761</v>
      </c>
      <c r="G46">
        <v>270853</v>
      </c>
    </row>
    <row r="47" spans="2:7" x14ac:dyDescent="0.3">
      <c r="B47" t="str">
        <f t="shared" si="0"/>
        <v>A4s</v>
      </c>
      <c r="C47" t="str">
        <f t="shared" si="1"/>
        <v>AS 4S</v>
      </c>
      <c r="D47" t="s">
        <v>20</v>
      </c>
      <c r="E47" t="s">
        <v>60</v>
      </c>
      <c r="F47">
        <v>268442665</v>
      </c>
      <c r="G47">
        <v>266757</v>
      </c>
    </row>
    <row r="48" spans="2:7" x14ac:dyDescent="0.3">
      <c r="B48" t="str">
        <f t="shared" si="0"/>
        <v>A3s</v>
      </c>
      <c r="C48" t="str">
        <f t="shared" si="1"/>
        <v>AC 3C</v>
      </c>
      <c r="D48" t="s">
        <v>17</v>
      </c>
      <c r="E48" t="s">
        <v>61</v>
      </c>
      <c r="F48">
        <v>268471337</v>
      </c>
      <c r="G48">
        <v>164099</v>
      </c>
    </row>
    <row r="49" spans="2:7" x14ac:dyDescent="0.3">
      <c r="B49" t="str">
        <f t="shared" si="0"/>
        <v>A3s</v>
      </c>
      <c r="C49" t="str">
        <f t="shared" si="1"/>
        <v>AD 3D</v>
      </c>
      <c r="D49" t="s">
        <v>18</v>
      </c>
      <c r="E49" t="s">
        <v>62</v>
      </c>
      <c r="F49">
        <v>268454953</v>
      </c>
      <c r="G49">
        <v>147715</v>
      </c>
    </row>
    <row r="50" spans="2:7" x14ac:dyDescent="0.3">
      <c r="B50" t="str">
        <f t="shared" si="0"/>
        <v>A3s</v>
      </c>
      <c r="C50" t="str">
        <f t="shared" si="1"/>
        <v>AH 3H</v>
      </c>
      <c r="D50" t="s">
        <v>19</v>
      </c>
      <c r="E50" t="s">
        <v>63</v>
      </c>
      <c r="F50">
        <v>268446761</v>
      </c>
      <c r="G50">
        <v>139523</v>
      </c>
    </row>
    <row r="51" spans="2:7" x14ac:dyDescent="0.3">
      <c r="B51" t="str">
        <f t="shared" si="0"/>
        <v>A3s</v>
      </c>
      <c r="C51" t="str">
        <f t="shared" si="1"/>
        <v>AS 3S</v>
      </c>
      <c r="D51" t="s">
        <v>20</v>
      </c>
      <c r="E51" t="s">
        <v>64</v>
      </c>
      <c r="F51">
        <v>268442665</v>
      </c>
      <c r="G51">
        <v>135427</v>
      </c>
    </row>
    <row r="52" spans="2:7" x14ac:dyDescent="0.3">
      <c r="B52" t="str">
        <f t="shared" si="0"/>
        <v>A2s</v>
      </c>
      <c r="C52" t="str">
        <f t="shared" si="1"/>
        <v>AC 2C</v>
      </c>
      <c r="D52" t="s">
        <v>17</v>
      </c>
      <c r="E52" t="s">
        <v>65</v>
      </c>
      <c r="F52">
        <v>268471337</v>
      </c>
      <c r="G52">
        <v>98306</v>
      </c>
    </row>
    <row r="53" spans="2:7" x14ac:dyDescent="0.3">
      <c r="B53" t="str">
        <f t="shared" si="0"/>
        <v>A2s</v>
      </c>
      <c r="C53" t="str">
        <f t="shared" si="1"/>
        <v>AD 2D</v>
      </c>
      <c r="D53" t="s">
        <v>18</v>
      </c>
      <c r="E53" t="s">
        <v>66</v>
      </c>
      <c r="F53">
        <v>268454953</v>
      </c>
      <c r="G53">
        <v>81922</v>
      </c>
    </row>
    <row r="54" spans="2:7" x14ac:dyDescent="0.3">
      <c r="B54" t="str">
        <f t="shared" si="0"/>
        <v>A2s</v>
      </c>
      <c r="C54" t="str">
        <f t="shared" si="1"/>
        <v>AH 2H</v>
      </c>
      <c r="D54" t="s">
        <v>19</v>
      </c>
      <c r="E54" t="s">
        <v>67</v>
      </c>
      <c r="F54">
        <v>268446761</v>
      </c>
      <c r="G54">
        <v>73730</v>
      </c>
    </row>
    <row r="55" spans="2:7" x14ac:dyDescent="0.3">
      <c r="B55" t="str">
        <f t="shared" si="0"/>
        <v>A2s</v>
      </c>
      <c r="C55" t="str">
        <f t="shared" si="1"/>
        <v>AS 2S</v>
      </c>
      <c r="D55" t="s">
        <v>20</v>
      </c>
      <c r="E55" t="s">
        <v>68</v>
      </c>
      <c r="F55">
        <v>268442665</v>
      </c>
      <c r="G55">
        <v>69634</v>
      </c>
    </row>
    <row r="56" spans="2:7" x14ac:dyDescent="0.3">
      <c r="B56" t="str">
        <f t="shared" si="0"/>
        <v>AKo</v>
      </c>
      <c r="C56" t="str">
        <f t="shared" si="1"/>
        <v>AC KD</v>
      </c>
      <c r="D56" t="s">
        <v>17</v>
      </c>
      <c r="E56" t="s">
        <v>22</v>
      </c>
      <c r="F56">
        <v>268471337</v>
      </c>
      <c r="G56">
        <v>134236965</v>
      </c>
    </row>
    <row r="57" spans="2:7" x14ac:dyDescent="0.3">
      <c r="B57" t="str">
        <f t="shared" si="0"/>
        <v>AKo</v>
      </c>
      <c r="C57" t="str">
        <f t="shared" si="1"/>
        <v>AC KH</v>
      </c>
      <c r="D57" t="s">
        <v>17</v>
      </c>
      <c r="E57" t="s">
        <v>23</v>
      </c>
      <c r="F57">
        <v>268471337</v>
      </c>
      <c r="G57">
        <v>134228773</v>
      </c>
    </row>
    <row r="58" spans="2:7" x14ac:dyDescent="0.3">
      <c r="B58" t="str">
        <f t="shared" si="0"/>
        <v>AKo</v>
      </c>
      <c r="C58" t="str">
        <f t="shared" si="1"/>
        <v>AC KS</v>
      </c>
      <c r="D58" t="s">
        <v>17</v>
      </c>
      <c r="E58" t="s">
        <v>24</v>
      </c>
      <c r="F58">
        <v>268471337</v>
      </c>
      <c r="G58">
        <v>134224677</v>
      </c>
    </row>
    <row r="59" spans="2:7" x14ac:dyDescent="0.3">
      <c r="B59" t="str">
        <f t="shared" si="0"/>
        <v>AKo</v>
      </c>
      <c r="C59" t="str">
        <f t="shared" si="1"/>
        <v>AD KC</v>
      </c>
      <c r="D59" t="s">
        <v>18</v>
      </c>
      <c r="E59" t="s">
        <v>21</v>
      </c>
      <c r="F59">
        <v>268454953</v>
      </c>
      <c r="G59">
        <v>134253349</v>
      </c>
    </row>
    <row r="60" spans="2:7" x14ac:dyDescent="0.3">
      <c r="B60" t="str">
        <f t="shared" si="0"/>
        <v>AKo</v>
      </c>
      <c r="C60" t="str">
        <f t="shared" si="1"/>
        <v>AD KH</v>
      </c>
      <c r="D60" t="s">
        <v>18</v>
      </c>
      <c r="E60" t="s">
        <v>23</v>
      </c>
      <c r="F60">
        <v>268454953</v>
      </c>
      <c r="G60">
        <v>134228773</v>
      </c>
    </row>
    <row r="61" spans="2:7" x14ac:dyDescent="0.3">
      <c r="B61" t="str">
        <f t="shared" si="0"/>
        <v>AKo</v>
      </c>
      <c r="C61" t="str">
        <f t="shared" si="1"/>
        <v>AD KS</v>
      </c>
      <c r="D61" t="s">
        <v>18</v>
      </c>
      <c r="E61" t="s">
        <v>24</v>
      </c>
      <c r="F61">
        <v>268454953</v>
      </c>
      <c r="G61">
        <v>134224677</v>
      </c>
    </row>
    <row r="62" spans="2:7" x14ac:dyDescent="0.3">
      <c r="B62" t="str">
        <f t="shared" si="0"/>
        <v>AKo</v>
      </c>
      <c r="C62" t="str">
        <f t="shared" si="1"/>
        <v>AH KC</v>
      </c>
      <c r="D62" t="s">
        <v>19</v>
      </c>
      <c r="E62" t="s">
        <v>21</v>
      </c>
      <c r="F62">
        <v>268446761</v>
      </c>
      <c r="G62">
        <v>134253349</v>
      </c>
    </row>
    <row r="63" spans="2:7" x14ac:dyDescent="0.3">
      <c r="B63" t="str">
        <f t="shared" si="0"/>
        <v>AKo</v>
      </c>
      <c r="C63" t="str">
        <f t="shared" si="1"/>
        <v>AH KD</v>
      </c>
      <c r="D63" t="s">
        <v>19</v>
      </c>
      <c r="E63" t="s">
        <v>22</v>
      </c>
      <c r="F63">
        <v>268446761</v>
      </c>
      <c r="G63">
        <v>134236965</v>
      </c>
    </row>
    <row r="64" spans="2:7" x14ac:dyDescent="0.3">
      <c r="B64" t="str">
        <f t="shared" si="0"/>
        <v>AKo</v>
      </c>
      <c r="C64" t="str">
        <f t="shared" si="1"/>
        <v>AH KS</v>
      </c>
      <c r="D64" t="s">
        <v>19</v>
      </c>
      <c r="E64" t="s">
        <v>24</v>
      </c>
      <c r="F64">
        <v>268446761</v>
      </c>
      <c r="G64">
        <v>134224677</v>
      </c>
    </row>
    <row r="65" spans="2:7" x14ac:dyDescent="0.3">
      <c r="B65" t="str">
        <f t="shared" si="0"/>
        <v>AKo</v>
      </c>
      <c r="C65" t="str">
        <f t="shared" si="1"/>
        <v>AS KC</v>
      </c>
      <c r="D65" t="s">
        <v>20</v>
      </c>
      <c r="E65" t="s">
        <v>21</v>
      </c>
      <c r="F65">
        <v>268442665</v>
      </c>
      <c r="G65">
        <v>134253349</v>
      </c>
    </row>
    <row r="66" spans="2:7" x14ac:dyDescent="0.3">
      <c r="B66" t="str">
        <f t="shared" si="0"/>
        <v>AKo</v>
      </c>
      <c r="C66" t="str">
        <f t="shared" si="1"/>
        <v>AS KD</v>
      </c>
      <c r="D66" t="s">
        <v>20</v>
      </c>
      <c r="E66" t="s">
        <v>22</v>
      </c>
      <c r="F66">
        <v>268442665</v>
      </c>
      <c r="G66">
        <v>134236965</v>
      </c>
    </row>
    <row r="67" spans="2:7" x14ac:dyDescent="0.3">
      <c r="B67" t="str">
        <f t="shared" ref="B67:B130" si="2">LEFT(D67,1)&amp;LEFT(E67,1)&amp;IF(LEFT(D67,1)=LEFT(E67,1), "", IF(RIGHT(D67,1)=RIGHT(E67,1), "s", "o"))</f>
        <v>AKo</v>
      </c>
      <c r="C67" t="str">
        <f t="shared" ref="C67:C130" si="3">UPPER(D67&amp;" "&amp;E67)</f>
        <v>AS KH</v>
      </c>
      <c r="D67" t="s">
        <v>20</v>
      </c>
      <c r="E67" t="s">
        <v>23</v>
      </c>
      <c r="F67">
        <v>268442665</v>
      </c>
      <c r="G67">
        <v>134228773</v>
      </c>
    </row>
    <row r="68" spans="2:7" x14ac:dyDescent="0.3">
      <c r="B68" t="str">
        <f t="shared" si="2"/>
        <v>KK</v>
      </c>
      <c r="C68" t="str">
        <f t="shared" si="3"/>
        <v>KC KD</v>
      </c>
      <c r="D68" t="s">
        <v>21</v>
      </c>
      <c r="E68" t="s">
        <v>22</v>
      </c>
      <c r="F68">
        <v>134253349</v>
      </c>
      <c r="G68">
        <v>134236965</v>
      </c>
    </row>
    <row r="69" spans="2:7" x14ac:dyDescent="0.3">
      <c r="B69" t="str">
        <f t="shared" si="2"/>
        <v>KK</v>
      </c>
      <c r="C69" t="str">
        <f t="shared" si="3"/>
        <v>KC KH</v>
      </c>
      <c r="D69" t="s">
        <v>21</v>
      </c>
      <c r="E69" t="s">
        <v>23</v>
      </c>
      <c r="F69">
        <v>134253349</v>
      </c>
      <c r="G69">
        <v>134228773</v>
      </c>
    </row>
    <row r="70" spans="2:7" x14ac:dyDescent="0.3">
      <c r="B70" t="str">
        <f t="shared" si="2"/>
        <v>KK</v>
      </c>
      <c r="C70" t="str">
        <f t="shared" si="3"/>
        <v>KC KS</v>
      </c>
      <c r="D70" t="s">
        <v>21</v>
      </c>
      <c r="E70" t="s">
        <v>24</v>
      </c>
      <c r="F70">
        <v>134253349</v>
      </c>
      <c r="G70">
        <v>134224677</v>
      </c>
    </row>
    <row r="71" spans="2:7" x14ac:dyDescent="0.3">
      <c r="B71" t="str">
        <f t="shared" si="2"/>
        <v>KK</v>
      </c>
      <c r="C71" t="str">
        <f t="shared" si="3"/>
        <v>KD KH</v>
      </c>
      <c r="D71" t="s">
        <v>22</v>
      </c>
      <c r="E71" t="s">
        <v>23</v>
      </c>
      <c r="F71">
        <v>134236965</v>
      </c>
      <c r="G71">
        <v>134228773</v>
      </c>
    </row>
    <row r="72" spans="2:7" x14ac:dyDescent="0.3">
      <c r="B72" t="str">
        <f t="shared" si="2"/>
        <v>KK</v>
      </c>
      <c r="C72" t="str">
        <f t="shared" si="3"/>
        <v>KD KS</v>
      </c>
      <c r="D72" t="s">
        <v>22</v>
      </c>
      <c r="E72" t="s">
        <v>24</v>
      </c>
      <c r="F72">
        <v>134236965</v>
      </c>
      <c r="G72">
        <v>134224677</v>
      </c>
    </row>
    <row r="73" spans="2:7" x14ac:dyDescent="0.3">
      <c r="B73" t="str">
        <f t="shared" si="2"/>
        <v>KK</v>
      </c>
      <c r="C73" t="str">
        <f t="shared" si="3"/>
        <v>KH KS</v>
      </c>
      <c r="D73" t="s">
        <v>23</v>
      </c>
      <c r="E73" t="s">
        <v>24</v>
      </c>
      <c r="F73">
        <v>134228773</v>
      </c>
      <c r="G73">
        <v>134224677</v>
      </c>
    </row>
    <row r="74" spans="2:7" x14ac:dyDescent="0.3">
      <c r="B74" t="str">
        <f t="shared" si="2"/>
        <v>KQs</v>
      </c>
      <c r="C74" t="str">
        <f t="shared" si="3"/>
        <v>KC QC</v>
      </c>
      <c r="D74" t="s">
        <v>21</v>
      </c>
      <c r="E74" t="s">
        <v>25</v>
      </c>
      <c r="F74">
        <v>134253349</v>
      </c>
      <c r="G74">
        <v>67144223</v>
      </c>
    </row>
    <row r="75" spans="2:7" x14ac:dyDescent="0.3">
      <c r="B75" t="str">
        <f t="shared" si="2"/>
        <v>KQs</v>
      </c>
      <c r="C75" t="str">
        <f t="shared" si="3"/>
        <v>KD QD</v>
      </c>
      <c r="D75" t="s">
        <v>22</v>
      </c>
      <c r="E75" t="s">
        <v>26</v>
      </c>
      <c r="F75">
        <v>134236965</v>
      </c>
      <c r="G75">
        <v>67127839</v>
      </c>
    </row>
    <row r="76" spans="2:7" x14ac:dyDescent="0.3">
      <c r="B76" t="str">
        <f t="shared" si="2"/>
        <v>KQs</v>
      </c>
      <c r="C76" t="str">
        <f t="shared" si="3"/>
        <v>KH QH</v>
      </c>
      <c r="D76" t="s">
        <v>23</v>
      </c>
      <c r="E76" t="s">
        <v>27</v>
      </c>
      <c r="F76">
        <v>134228773</v>
      </c>
      <c r="G76">
        <v>67119647</v>
      </c>
    </row>
    <row r="77" spans="2:7" x14ac:dyDescent="0.3">
      <c r="B77" t="str">
        <f t="shared" si="2"/>
        <v>KQs</v>
      </c>
      <c r="C77" t="str">
        <f t="shared" si="3"/>
        <v>KS QS</v>
      </c>
      <c r="D77" t="s">
        <v>24</v>
      </c>
      <c r="E77" t="s">
        <v>28</v>
      </c>
      <c r="F77">
        <v>134224677</v>
      </c>
      <c r="G77">
        <v>67115551</v>
      </c>
    </row>
    <row r="78" spans="2:7" x14ac:dyDescent="0.3">
      <c r="B78" t="str">
        <f t="shared" si="2"/>
        <v>KJs</v>
      </c>
      <c r="C78" t="str">
        <f t="shared" si="3"/>
        <v>KC JC</v>
      </c>
      <c r="D78" t="s">
        <v>21</v>
      </c>
      <c r="E78" t="s">
        <v>29</v>
      </c>
      <c r="F78">
        <v>134253349</v>
      </c>
      <c r="G78">
        <v>33589533</v>
      </c>
    </row>
    <row r="79" spans="2:7" x14ac:dyDescent="0.3">
      <c r="B79" t="str">
        <f t="shared" si="2"/>
        <v>KJs</v>
      </c>
      <c r="C79" t="str">
        <f t="shared" si="3"/>
        <v>KD JD</v>
      </c>
      <c r="D79" t="s">
        <v>22</v>
      </c>
      <c r="E79" t="s">
        <v>30</v>
      </c>
      <c r="F79">
        <v>134236965</v>
      </c>
      <c r="G79">
        <v>33573149</v>
      </c>
    </row>
    <row r="80" spans="2:7" x14ac:dyDescent="0.3">
      <c r="B80" t="str">
        <f t="shared" si="2"/>
        <v>KJs</v>
      </c>
      <c r="C80" t="str">
        <f t="shared" si="3"/>
        <v>KH JH</v>
      </c>
      <c r="D80" t="s">
        <v>23</v>
      </c>
      <c r="E80" t="s">
        <v>31</v>
      </c>
      <c r="F80">
        <v>134228773</v>
      </c>
      <c r="G80">
        <v>33564957</v>
      </c>
    </row>
    <row r="81" spans="2:7" x14ac:dyDescent="0.3">
      <c r="B81" t="str">
        <f t="shared" si="2"/>
        <v>KJs</v>
      </c>
      <c r="C81" t="str">
        <f t="shared" si="3"/>
        <v>KS JS</v>
      </c>
      <c r="D81" t="s">
        <v>24</v>
      </c>
      <c r="E81" t="s">
        <v>32</v>
      </c>
      <c r="F81">
        <v>134224677</v>
      </c>
      <c r="G81">
        <v>33560861</v>
      </c>
    </row>
    <row r="82" spans="2:7" x14ac:dyDescent="0.3">
      <c r="B82" t="str">
        <f t="shared" si="2"/>
        <v>KTs</v>
      </c>
      <c r="C82" t="str">
        <f t="shared" si="3"/>
        <v>KC TC</v>
      </c>
      <c r="D82" t="s">
        <v>21</v>
      </c>
      <c r="E82" t="s">
        <v>33</v>
      </c>
      <c r="F82">
        <v>134253349</v>
      </c>
      <c r="G82">
        <v>16812055</v>
      </c>
    </row>
    <row r="83" spans="2:7" x14ac:dyDescent="0.3">
      <c r="B83" t="str">
        <f t="shared" si="2"/>
        <v>KTs</v>
      </c>
      <c r="C83" t="str">
        <f t="shared" si="3"/>
        <v>KD TD</v>
      </c>
      <c r="D83" t="s">
        <v>22</v>
      </c>
      <c r="E83" t="s">
        <v>34</v>
      </c>
      <c r="F83">
        <v>134236965</v>
      </c>
      <c r="G83">
        <v>16795671</v>
      </c>
    </row>
    <row r="84" spans="2:7" x14ac:dyDescent="0.3">
      <c r="B84" t="str">
        <f t="shared" si="2"/>
        <v>KTs</v>
      </c>
      <c r="C84" t="str">
        <f t="shared" si="3"/>
        <v>KH TH</v>
      </c>
      <c r="D84" t="s">
        <v>23</v>
      </c>
      <c r="E84" t="s">
        <v>35</v>
      </c>
      <c r="F84">
        <v>134228773</v>
      </c>
      <c r="G84">
        <v>16787479</v>
      </c>
    </row>
    <row r="85" spans="2:7" x14ac:dyDescent="0.3">
      <c r="B85" t="str">
        <f t="shared" si="2"/>
        <v>KTs</v>
      </c>
      <c r="C85" t="str">
        <f t="shared" si="3"/>
        <v>KS TS</v>
      </c>
      <c r="D85" t="s">
        <v>24</v>
      </c>
      <c r="E85" t="s">
        <v>36</v>
      </c>
      <c r="F85">
        <v>134224677</v>
      </c>
      <c r="G85">
        <v>16783383</v>
      </c>
    </row>
    <row r="86" spans="2:7" x14ac:dyDescent="0.3">
      <c r="B86" t="str">
        <f t="shared" si="2"/>
        <v>K9s</v>
      </c>
      <c r="C86" t="str">
        <f t="shared" si="3"/>
        <v>KC 9C</v>
      </c>
      <c r="D86" t="s">
        <v>21</v>
      </c>
      <c r="E86" t="s">
        <v>37</v>
      </c>
      <c r="F86">
        <v>134253349</v>
      </c>
      <c r="G86">
        <v>8423187</v>
      </c>
    </row>
    <row r="87" spans="2:7" x14ac:dyDescent="0.3">
      <c r="B87" t="str">
        <f t="shared" si="2"/>
        <v>K9s</v>
      </c>
      <c r="C87" t="str">
        <f t="shared" si="3"/>
        <v>KD 9D</v>
      </c>
      <c r="D87" t="s">
        <v>22</v>
      </c>
      <c r="E87" t="s">
        <v>38</v>
      </c>
      <c r="F87">
        <v>134236965</v>
      </c>
      <c r="G87">
        <v>8406803</v>
      </c>
    </row>
    <row r="88" spans="2:7" x14ac:dyDescent="0.3">
      <c r="B88" t="str">
        <f t="shared" si="2"/>
        <v>K9s</v>
      </c>
      <c r="C88" t="str">
        <f t="shared" si="3"/>
        <v>KH 9H</v>
      </c>
      <c r="D88" t="s">
        <v>23</v>
      </c>
      <c r="E88" t="s">
        <v>39</v>
      </c>
      <c r="F88">
        <v>134228773</v>
      </c>
      <c r="G88">
        <v>8398611</v>
      </c>
    </row>
    <row r="89" spans="2:7" x14ac:dyDescent="0.3">
      <c r="B89" t="str">
        <f t="shared" si="2"/>
        <v>K9s</v>
      </c>
      <c r="C89" t="str">
        <f t="shared" si="3"/>
        <v>KS 9S</v>
      </c>
      <c r="D89" t="s">
        <v>24</v>
      </c>
      <c r="E89" t="s">
        <v>40</v>
      </c>
      <c r="F89">
        <v>134224677</v>
      </c>
      <c r="G89">
        <v>8394515</v>
      </c>
    </row>
    <row r="90" spans="2:7" x14ac:dyDescent="0.3">
      <c r="B90" t="str">
        <f t="shared" si="2"/>
        <v>K8s</v>
      </c>
      <c r="C90" t="str">
        <f t="shared" si="3"/>
        <v>KC 8C</v>
      </c>
      <c r="D90" t="s">
        <v>21</v>
      </c>
      <c r="E90" t="s">
        <v>41</v>
      </c>
      <c r="F90">
        <v>134253349</v>
      </c>
      <c r="G90">
        <v>4228625</v>
      </c>
    </row>
    <row r="91" spans="2:7" x14ac:dyDescent="0.3">
      <c r="B91" t="str">
        <f t="shared" si="2"/>
        <v>K8s</v>
      </c>
      <c r="C91" t="str">
        <f t="shared" si="3"/>
        <v>KD 8D</v>
      </c>
      <c r="D91" t="s">
        <v>22</v>
      </c>
      <c r="E91" t="s">
        <v>42</v>
      </c>
      <c r="F91">
        <v>134236965</v>
      </c>
      <c r="G91">
        <v>4212241</v>
      </c>
    </row>
    <row r="92" spans="2:7" x14ac:dyDescent="0.3">
      <c r="B92" t="str">
        <f t="shared" si="2"/>
        <v>K8s</v>
      </c>
      <c r="C92" t="str">
        <f t="shared" si="3"/>
        <v>KH 8H</v>
      </c>
      <c r="D92" t="s">
        <v>23</v>
      </c>
      <c r="E92" t="s">
        <v>43</v>
      </c>
      <c r="F92">
        <v>134228773</v>
      </c>
      <c r="G92">
        <v>4204049</v>
      </c>
    </row>
    <row r="93" spans="2:7" x14ac:dyDescent="0.3">
      <c r="B93" t="str">
        <f t="shared" si="2"/>
        <v>K8s</v>
      </c>
      <c r="C93" t="str">
        <f t="shared" si="3"/>
        <v>KS 8S</v>
      </c>
      <c r="D93" t="s">
        <v>24</v>
      </c>
      <c r="E93" t="s">
        <v>44</v>
      </c>
      <c r="F93">
        <v>134224677</v>
      </c>
      <c r="G93">
        <v>4199953</v>
      </c>
    </row>
    <row r="94" spans="2:7" x14ac:dyDescent="0.3">
      <c r="B94" t="str">
        <f t="shared" si="2"/>
        <v>K7s</v>
      </c>
      <c r="C94" t="str">
        <f t="shared" si="3"/>
        <v>KC 7C</v>
      </c>
      <c r="D94" t="s">
        <v>21</v>
      </c>
      <c r="E94" t="s">
        <v>45</v>
      </c>
      <c r="F94">
        <v>134253349</v>
      </c>
      <c r="G94">
        <v>2131213</v>
      </c>
    </row>
    <row r="95" spans="2:7" x14ac:dyDescent="0.3">
      <c r="B95" t="str">
        <f t="shared" si="2"/>
        <v>K7s</v>
      </c>
      <c r="C95" t="str">
        <f t="shared" si="3"/>
        <v>KD 7D</v>
      </c>
      <c r="D95" t="s">
        <v>22</v>
      </c>
      <c r="E95" t="s">
        <v>46</v>
      </c>
      <c r="F95">
        <v>134236965</v>
      </c>
      <c r="G95">
        <v>2114829</v>
      </c>
    </row>
    <row r="96" spans="2:7" x14ac:dyDescent="0.3">
      <c r="B96" t="str">
        <f t="shared" si="2"/>
        <v>K7s</v>
      </c>
      <c r="C96" t="str">
        <f t="shared" si="3"/>
        <v>KH 7H</v>
      </c>
      <c r="D96" t="s">
        <v>23</v>
      </c>
      <c r="E96" t="s">
        <v>47</v>
      </c>
      <c r="F96">
        <v>134228773</v>
      </c>
      <c r="G96">
        <v>2106637</v>
      </c>
    </row>
    <row r="97" spans="2:7" x14ac:dyDescent="0.3">
      <c r="B97" t="str">
        <f t="shared" si="2"/>
        <v>K7s</v>
      </c>
      <c r="C97" t="str">
        <f t="shared" si="3"/>
        <v>KS 7S</v>
      </c>
      <c r="D97" t="s">
        <v>24</v>
      </c>
      <c r="E97" t="s">
        <v>48</v>
      </c>
      <c r="F97">
        <v>134224677</v>
      </c>
      <c r="G97">
        <v>2102541</v>
      </c>
    </row>
    <row r="98" spans="2:7" x14ac:dyDescent="0.3">
      <c r="B98" t="str">
        <f t="shared" si="2"/>
        <v>K6s</v>
      </c>
      <c r="C98" t="str">
        <f t="shared" si="3"/>
        <v>KC 6C</v>
      </c>
      <c r="D98" t="s">
        <v>21</v>
      </c>
      <c r="E98" t="s">
        <v>49</v>
      </c>
      <c r="F98">
        <v>134253349</v>
      </c>
      <c r="G98">
        <v>1082379</v>
      </c>
    </row>
    <row r="99" spans="2:7" x14ac:dyDescent="0.3">
      <c r="B99" t="str">
        <f t="shared" si="2"/>
        <v>K6s</v>
      </c>
      <c r="C99" t="str">
        <f t="shared" si="3"/>
        <v>KD 6D</v>
      </c>
      <c r="D99" t="s">
        <v>22</v>
      </c>
      <c r="E99" t="s">
        <v>50</v>
      </c>
      <c r="F99">
        <v>134236965</v>
      </c>
      <c r="G99">
        <v>1065995</v>
      </c>
    </row>
    <row r="100" spans="2:7" x14ac:dyDescent="0.3">
      <c r="B100" t="str">
        <f t="shared" si="2"/>
        <v>K6s</v>
      </c>
      <c r="C100" t="str">
        <f t="shared" si="3"/>
        <v>KH 6H</v>
      </c>
      <c r="D100" t="s">
        <v>23</v>
      </c>
      <c r="E100" t="s">
        <v>51</v>
      </c>
      <c r="F100">
        <v>134228773</v>
      </c>
      <c r="G100">
        <v>1057803</v>
      </c>
    </row>
    <row r="101" spans="2:7" x14ac:dyDescent="0.3">
      <c r="B101" t="str">
        <f t="shared" si="2"/>
        <v>K6s</v>
      </c>
      <c r="C101" t="str">
        <f t="shared" si="3"/>
        <v>KS 6S</v>
      </c>
      <c r="D101" t="s">
        <v>24</v>
      </c>
      <c r="E101" t="s">
        <v>52</v>
      </c>
      <c r="F101">
        <v>134224677</v>
      </c>
      <c r="G101">
        <v>1053707</v>
      </c>
    </row>
    <row r="102" spans="2:7" x14ac:dyDescent="0.3">
      <c r="B102" t="str">
        <f t="shared" si="2"/>
        <v>K5s</v>
      </c>
      <c r="C102" t="str">
        <f t="shared" si="3"/>
        <v>KC 5C</v>
      </c>
      <c r="D102" t="s">
        <v>21</v>
      </c>
      <c r="E102" t="s">
        <v>53</v>
      </c>
      <c r="F102">
        <v>134253349</v>
      </c>
      <c r="G102">
        <v>557831</v>
      </c>
    </row>
    <row r="103" spans="2:7" x14ac:dyDescent="0.3">
      <c r="B103" t="str">
        <f t="shared" si="2"/>
        <v>K5s</v>
      </c>
      <c r="C103" t="str">
        <f t="shared" si="3"/>
        <v>KD 5D</v>
      </c>
      <c r="D103" t="s">
        <v>22</v>
      </c>
      <c r="E103" t="s">
        <v>54</v>
      </c>
      <c r="F103">
        <v>134236965</v>
      </c>
      <c r="G103">
        <v>541447</v>
      </c>
    </row>
    <row r="104" spans="2:7" x14ac:dyDescent="0.3">
      <c r="B104" t="str">
        <f t="shared" si="2"/>
        <v>K5s</v>
      </c>
      <c r="C104" t="str">
        <f t="shared" si="3"/>
        <v>KH 5H</v>
      </c>
      <c r="D104" t="s">
        <v>23</v>
      </c>
      <c r="E104" t="s">
        <v>55</v>
      </c>
      <c r="F104">
        <v>134228773</v>
      </c>
      <c r="G104">
        <v>533255</v>
      </c>
    </row>
    <row r="105" spans="2:7" x14ac:dyDescent="0.3">
      <c r="B105" t="str">
        <f t="shared" si="2"/>
        <v>K5s</v>
      </c>
      <c r="C105" t="str">
        <f t="shared" si="3"/>
        <v>KS 5S</v>
      </c>
      <c r="D105" t="s">
        <v>24</v>
      </c>
      <c r="E105" t="s">
        <v>56</v>
      </c>
      <c r="F105">
        <v>134224677</v>
      </c>
      <c r="G105">
        <v>529159</v>
      </c>
    </row>
    <row r="106" spans="2:7" x14ac:dyDescent="0.3">
      <c r="B106" t="str">
        <f t="shared" si="2"/>
        <v>K4s</v>
      </c>
      <c r="C106" t="str">
        <f t="shared" si="3"/>
        <v>KC 4C</v>
      </c>
      <c r="D106" t="s">
        <v>21</v>
      </c>
      <c r="E106" t="s">
        <v>57</v>
      </c>
      <c r="F106">
        <v>134253349</v>
      </c>
      <c r="G106">
        <v>295429</v>
      </c>
    </row>
    <row r="107" spans="2:7" x14ac:dyDescent="0.3">
      <c r="B107" t="str">
        <f t="shared" si="2"/>
        <v>K4s</v>
      </c>
      <c r="C107" t="str">
        <f t="shared" si="3"/>
        <v>KD 4D</v>
      </c>
      <c r="D107" t="s">
        <v>22</v>
      </c>
      <c r="E107" t="s">
        <v>58</v>
      </c>
      <c r="F107">
        <v>134236965</v>
      </c>
      <c r="G107">
        <v>279045</v>
      </c>
    </row>
    <row r="108" spans="2:7" x14ac:dyDescent="0.3">
      <c r="B108" t="str">
        <f t="shared" si="2"/>
        <v>K4s</v>
      </c>
      <c r="C108" t="str">
        <f t="shared" si="3"/>
        <v>KH 4H</v>
      </c>
      <c r="D108" t="s">
        <v>23</v>
      </c>
      <c r="E108" t="s">
        <v>59</v>
      </c>
      <c r="F108">
        <v>134228773</v>
      </c>
      <c r="G108">
        <v>270853</v>
      </c>
    </row>
    <row r="109" spans="2:7" x14ac:dyDescent="0.3">
      <c r="B109" t="str">
        <f t="shared" si="2"/>
        <v>K4s</v>
      </c>
      <c r="C109" t="str">
        <f t="shared" si="3"/>
        <v>KS 4S</v>
      </c>
      <c r="D109" t="s">
        <v>24</v>
      </c>
      <c r="E109" t="s">
        <v>60</v>
      </c>
      <c r="F109">
        <v>134224677</v>
      </c>
      <c r="G109">
        <v>266757</v>
      </c>
    </row>
    <row r="110" spans="2:7" x14ac:dyDescent="0.3">
      <c r="B110" t="str">
        <f t="shared" si="2"/>
        <v>K3s</v>
      </c>
      <c r="C110" t="str">
        <f t="shared" si="3"/>
        <v>KC 3C</v>
      </c>
      <c r="D110" t="s">
        <v>21</v>
      </c>
      <c r="E110" t="s">
        <v>61</v>
      </c>
      <c r="F110">
        <v>134253349</v>
      </c>
      <c r="G110">
        <v>164099</v>
      </c>
    </row>
    <row r="111" spans="2:7" x14ac:dyDescent="0.3">
      <c r="B111" t="str">
        <f t="shared" si="2"/>
        <v>K3s</v>
      </c>
      <c r="C111" t="str">
        <f t="shared" si="3"/>
        <v>KD 3D</v>
      </c>
      <c r="D111" t="s">
        <v>22</v>
      </c>
      <c r="E111" t="s">
        <v>62</v>
      </c>
      <c r="F111">
        <v>134236965</v>
      </c>
      <c r="G111">
        <v>147715</v>
      </c>
    </row>
    <row r="112" spans="2:7" x14ac:dyDescent="0.3">
      <c r="B112" t="str">
        <f t="shared" si="2"/>
        <v>K3s</v>
      </c>
      <c r="C112" t="str">
        <f t="shared" si="3"/>
        <v>KH 3H</v>
      </c>
      <c r="D112" t="s">
        <v>23</v>
      </c>
      <c r="E112" t="s">
        <v>63</v>
      </c>
      <c r="F112">
        <v>134228773</v>
      </c>
      <c r="G112">
        <v>139523</v>
      </c>
    </row>
    <row r="113" spans="2:7" x14ac:dyDescent="0.3">
      <c r="B113" t="str">
        <f t="shared" si="2"/>
        <v>K3s</v>
      </c>
      <c r="C113" t="str">
        <f t="shared" si="3"/>
        <v>KS 3S</v>
      </c>
      <c r="D113" t="s">
        <v>24</v>
      </c>
      <c r="E113" t="s">
        <v>64</v>
      </c>
      <c r="F113">
        <v>134224677</v>
      </c>
      <c r="G113">
        <v>135427</v>
      </c>
    </row>
    <row r="114" spans="2:7" x14ac:dyDescent="0.3">
      <c r="B114" t="str">
        <f t="shared" si="2"/>
        <v>K2s</v>
      </c>
      <c r="C114" t="str">
        <f t="shared" si="3"/>
        <v>KC 2C</v>
      </c>
      <c r="D114" t="s">
        <v>21</v>
      </c>
      <c r="E114" t="s">
        <v>65</v>
      </c>
      <c r="F114">
        <v>134253349</v>
      </c>
      <c r="G114">
        <v>98306</v>
      </c>
    </row>
    <row r="115" spans="2:7" x14ac:dyDescent="0.3">
      <c r="B115" t="str">
        <f t="shared" si="2"/>
        <v>K2s</v>
      </c>
      <c r="C115" t="str">
        <f t="shared" si="3"/>
        <v>KD 2D</v>
      </c>
      <c r="D115" t="s">
        <v>22</v>
      </c>
      <c r="E115" t="s">
        <v>66</v>
      </c>
      <c r="F115">
        <v>134236965</v>
      </c>
      <c r="G115">
        <v>81922</v>
      </c>
    </row>
    <row r="116" spans="2:7" x14ac:dyDescent="0.3">
      <c r="B116" t="str">
        <f t="shared" si="2"/>
        <v>K2s</v>
      </c>
      <c r="C116" t="str">
        <f t="shared" si="3"/>
        <v>KH 2H</v>
      </c>
      <c r="D116" t="s">
        <v>23</v>
      </c>
      <c r="E116" t="s">
        <v>67</v>
      </c>
      <c r="F116">
        <v>134228773</v>
      </c>
      <c r="G116">
        <v>73730</v>
      </c>
    </row>
    <row r="117" spans="2:7" x14ac:dyDescent="0.3">
      <c r="B117" t="str">
        <f t="shared" si="2"/>
        <v>K2s</v>
      </c>
      <c r="C117" t="str">
        <f t="shared" si="3"/>
        <v>KS 2S</v>
      </c>
      <c r="D117" t="s">
        <v>24</v>
      </c>
      <c r="E117" t="s">
        <v>68</v>
      </c>
      <c r="F117">
        <v>134224677</v>
      </c>
      <c r="G117">
        <v>69634</v>
      </c>
    </row>
    <row r="118" spans="2:7" x14ac:dyDescent="0.3">
      <c r="B118" t="str">
        <f t="shared" si="2"/>
        <v>AQo</v>
      </c>
      <c r="C118" t="str">
        <f t="shared" si="3"/>
        <v>AC QD</v>
      </c>
      <c r="D118" t="s">
        <v>17</v>
      </c>
      <c r="E118" t="s">
        <v>26</v>
      </c>
      <c r="F118">
        <v>268471337</v>
      </c>
      <c r="G118">
        <v>67127839</v>
      </c>
    </row>
    <row r="119" spans="2:7" x14ac:dyDescent="0.3">
      <c r="B119" t="str">
        <f t="shared" si="2"/>
        <v>AQo</v>
      </c>
      <c r="C119" t="str">
        <f t="shared" si="3"/>
        <v>AC QH</v>
      </c>
      <c r="D119" t="s">
        <v>17</v>
      </c>
      <c r="E119" t="s">
        <v>27</v>
      </c>
      <c r="F119">
        <v>268471337</v>
      </c>
      <c r="G119">
        <v>67119647</v>
      </c>
    </row>
    <row r="120" spans="2:7" x14ac:dyDescent="0.3">
      <c r="B120" t="str">
        <f t="shared" si="2"/>
        <v>AQo</v>
      </c>
      <c r="C120" t="str">
        <f t="shared" si="3"/>
        <v>AC QS</v>
      </c>
      <c r="D120" t="s">
        <v>17</v>
      </c>
      <c r="E120" t="s">
        <v>28</v>
      </c>
      <c r="F120">
        <v>268471337</v>
      </c>
      <c r="G120">
        <v>67115551</v>
      </c>
    </row>
    <row r="121" spans="2:7" x14ac:dyDescent="0.3">
      <c r="B121" t="str">
        <f t="shared" si="2"/>
        <v>AQo</v>
      </c>
      <c r="C121" t="str">
        <f t="shared" si="3"/>
        <v>AD QC</v>
      </c>
      <c r="D121" t="s">
        <v>18</v>
      </c>
      <c r="E121" t="s">
        <v>25</v>
      </c>
      <c r="F121">
        <v>268454953</v>
      </c>
      <c r="G121">
        <v>67144223</v>
      </c>
    </row>
    <row r="122" spans="2:7" x14ac:dyDescent="0.3">
      <c r="B122" t="str">
        <f t="shared" si="2"/>
        <v>AQo</v>
      </c>
      <c r="C122" t="str">
        <f t="shared" si="3"/>
        <v>AD QH</v>
      </c>
      <c r="D122" t="s">
        <v>18</v>
      </c>
      <c r="E122" t="s">
        <v>27</v>
      </c>
      <c r="F122">
        <v>268454953</v>
      </c>
      <c r="G122">
        <v>67119647</v>
      </c>
    </row>
    <row r="123" spans="2:7" x14ac:dyDescent="0.3">
      <c r="B123" t="str">
        <f t="shared" si="2"/>
        <v>AQo</v>
      </c>
      <c r="C123" t="str">
        <f t="shared" si="3"/>
        <v>AD QS</v>
      </c>
      <c r="D123" t="s">
        <v>18</v>
      </c>
      <c r="E123" t="s">
        <v>28</v>
      </c>
      <c r="F123">
        <v>268454953</v>
      </c>
      <c r="G123">
        <v>67115551</v>
      </c>
    </row>
    <row r="124" spans="2:7" x14ac:dyDescent="0.3">
      <c r="B124" t="str">
        <f t="shared" si="2"/>
        <v>AQo</v>
      </c>
      <c r="C124" t="str">
        <f t="shared" si="3"/>
        <v>AH QC</v>
      </c>
      <c r="D124" t="s">
        <v>19</v>
      </c>
      <c r="E124" t="s">
        <v>25</v>
      </c>
      <c r="F124">
        <v>268446761</v>
      </c>
      <c r="G124">
        <v>67144223</v>
      </c>
    </row>
    <row r="125" spans="2:7" x14ac:dyDescent="0.3">
      <c r="B125" t="str">
        <f t="shared" si="2"/>
        <v>AQo</v>
      </c>
      <c r="C125" t="str">
        <f t="shared" si="3"/>
        <v>AH QD</v>
      </c>
      <c r="D125" t="s">
        <v>19</v>
      </c>
      <c r="E125" t="s">
        <v>26</v>
      </c>
      <c r="F125">
        <v>268446761</v>
      </c>
      <c r="G125">
        <v>67127839</v>
      </c>
    </row>
    <row r="126" spans="2:7" x14ac:dyDescent="0.3">
      <c r="B126" t="str">
        <f t="shared" si="2"/>
        <v>AQo</v>
      </c>
      <c r="C126" t="str">
        <f t="shared" si="3"/>
        <v>AH QS</v>
      </c>
      <c r="D126" t="s">
        <v>19</v>
      </c>
      <c r="E126" t="s">
        <v>28</v>
      </c>
      <c r="F126">
        <v>268446761</v>
      </c>
      <c r="G126">
        <v>67115551</v>
      </c>
    </row>
    <row r="127" spans="2:7" x14ac:dyDescent="0.3">
      <c r="B127" t="str">
        <f t="shared" si="2"/>
        <v>AQo</v>
      </c>
      <c r="C127" t="str">
        <f t="shared" si="3"/>
        <v>AS QC</v>
      </c>
      <c r="D127" t="s">
        <v>20</v>
      </c>
      <c r="E127" t="s">
        <v>25</v>
      </c>
      <c r="F127">
        <v>268442665</v>
      </c>
      <c r="G127">
        <v>67144223</v>
      </c>
    </row>
    <row r="128" spans="2:7" x14ac:dyDescent="0.3">
      <c r="B128" t="str">
        <f t="shared" si="2"/>
        <v>AQo</v>
      </c>
      <c r="C128" t="str">
        <f t="shared" si="3"/>
        <v>AS QD</v>
      </c>
      <c r="D128" t="s">
        <v>20</v>
      </c>
      <c r="E128" t="s">
        <v>26</v>
      </c>
      <c r="F128">
        <v>268442665</v>
      </c>
      <c r="G128">
        <v>67127839</v>
      </c>
    </row>
    <row r="129" spans="2:7" x14ac:dyDescent="0.3">
      <c r="B129" t="str">
        <f t="shared" si="2"/>
        <v>AQo</v>
      </c>
      <c r="C129" t="str">
        <f t="shared" si="3"/>
        <v>AS QH</v>
      </c>
      <c r="D129" t="s">
        <v>20</v>
      </c>
      <c r="E129" t="s">
        <v>27</v>
      </c>
      <c r="F129">
        <v>268442665</v>
      </c>
      <c r="G129">
        <v>67119647</v>
      </c>
    </row>
    <row r="130" spans="2:7" x14ac:dyDescent="0.3">
      <c r="B130" t="str">
        <f t="shared" si="2"/>
        <v>KQo</v>
      </c>
      <c r="C130" t="str">
        <f t="shared" si="3"/>
        <v>KC QD</v>
      </c>
      <c r="D130" t="s">
        <v>21</v>
      </c>
      <c r="E130" t="s">
        <v>26</v>
      </c>
      <c r="F130">
        <v>134253349</v>
      </c>
      <c r="G130">
        <v>67127839</v>
      </c>
    </row>
    <row r="131" spans="2:7" x14ac:dyDescent="0.3">
      <c r="B131" t="str">
        <f t="shared" ref="B131:B194" si="4">LEFT(D131,1)&amp;LEFT(E131,1)&amp;IF(LEFT(D131,1)=LEFT(E131,1), "", IF(RIGHT(D131,1)=RIGHT(E131,1), "s", "o"))</f>
        <v>KQo</v>
      </c>
      <c r="C131" t="str">
        <f t="shared" ref="C131:C194" si="5">UPPER(D131&amp;" "&amp;E131)</f>
        <v>KC QH</v>
      </c>
      <c r="D131" t="s">
        <v>21</v>
      </c>
      <c r="E131" t="s">
        <v>27</v>
      </c>
      <c r="F131">
        <v>134253349</v>
      </c>
      <c r="G131">
        <v>67119647</v>
      </c>
    </row>
    <row r="132" spans="2:7" x14ac:dyDescent="0.3">
      <c r="B132" t="str">
        <f t="shared" si="4"/>
        <v>KQo</v>
      </c>
      <c r="C132" t="str">
        <f t="shared" si="5"/>
        <v>KC QS</v>
      </c>
      <c r="D132" t="s">
        <v>21</v>
      </c>
      <c r="E132" t="s">
        <v>28</v>
      </c>
      <c r="F132">
        <v>134253349</v>
      </c>
      <c r="G132">
        <v>67115551</v>
      </c>
    </row>
    <row r="133" spans="2:7" x14ac:dyDescent="0.3">
      <c r="B133" t="str">
        <f t="shared" si="4"/>
        <v>KQo</v>
      </c>
      <c r="C133" t="str">
        <f t="shared" si="5"/>
        <v>KD QC</v>
      </c>
      <c r="D133" t="s">
        <v>22</v>
      </c>
      <c r="E133" t="s">
        <v>25</v>
      </c>
      <c r="F133">
        <v>134236965</v>
      </c>
      <c r="G133">
        <v>67144223</v>
      </c>
    </row>
    <row r="134" spans="2:7" x14ac:dyDescent="0.3">
      <c r="B134" t="str">
        <f t="shared" si="4"/>
        <v>KQo</v>
      </c>
      <c r="C134" t="str">
        <f t="shared" si="5"/>
        <v>KD QH</v>
      </c>
      <c r="D134" t="s">
        <v>22</v>
      </c>
      <c r="E134" t="s">
        <v>27</v>
      </c>
      <c r="F134">
        <v>134236965</v>
      </c>
      <c r="G134">
        <v>67119647</v>
      </c>
    </row>
    <row r="135" spans="2:7" x14ac:dyDescent="0.3">
      <c r="B135" t="str">
        <f t="shared" si="4"/>
        <v>KQo</v>
      </c>
      <c r="C135" t="str">
        <f t="shared" si="5"/>
        <v>KD QS</v>
      </c>
      <c r="D135" t="s">
        <v>22</v>
      </c>
      <c r="E135" t="s">
        <v>28</v>
      </c>
      <c r="F135">
        <v>134236965</v>
      </c>
      <c r="G135">
        <v>67115551</v>
      </c>
    </row>
    <row r="136" spans="2:7" x14ac:dyDescent="0.3">
      <c r="B136" t="str">
        <f t="shared" si="4"/>
        <v>KQo</v>
      </c>
      <c r="C136" t="str">
        <f t="shared" si="5"/>
        <v>KH QC</v>
      </c>
      <c r="D136" t="s">
        <v>23</v>
      </c>
      <c r="E136" t="s">
        <v>25</v>
      </c>
      <c r="F136">
        <v>134228773</v>
      </c>
      <c r="G136">
        <v>67144223</v>
      </c>
    </row>
    <row r="137" spans="2:7" x14ac:dyDescent="0.3">
      <c r="B137" t="str">
        <f t="shared" si="4"/>
        <v>KQo</v>
      </c>
      <c r="C137" t="str">
        <f t="shared" si="5"/>
        <v>KH QD</v>
      </c>
      <c r="D137" t="s">
        <v>23</v>
      </c>
      <c r="E137" t="s">
        <v>26</v>
      </c>
      <c r="F137">
        <v>134228773</v>
      </c>
      <c r="G137">
        <v>67127839</v>
      </c>
    </row>
    <row r="138" spans="2:7" x14ac:dyDescent="0.3">
      <c r="B138" t="str">
        <f t="shared" si="4"/>
        <v>KQo</v>
      </c>
      <c r="C138" t="str">
        <f t="shared" si="5"/>
        <v>KH QS</v>
      </c>
      <c r="D138" t="s">
        <v>23</v>
      </c>
      <c r="E138" t="s">
        <v>28</v>
      </c>
      <c r="F138">
        <v>134228773</v>
      </c>
      <c r="G138">
        <v>67115551</v>
      </c>
    </row>
    <row r="139" spans="2:7" x14ac:dyDescent="0.3">
      <c r="B139" t="str">
        <f t="shared" si="4"/>
        <v>KQo</v>
      </c>
      <c r="C139" t="str">
        <f t="shared" si="5"/>
        <v>KS QC</v>
      </c>
      <c r="D139" t="s">
        <v>24</v>
      </c>
      <c r="E139" t="s">
        <v>25</v>
      </c>
      <c r="F139">
        <v>134224677</v>
      </c>
      <c r="G139">
        <v>67144223</v>
      </c>
    </row>
    <row r="140" spans="2:7" x14ac:dyDescent="0.3">
      <c r="B140" t="str">
        <f t="shared" si="4"/>
        <v>KQo</v>
      </c>
      <c r="C140" t="str">
        <f t="shared" si="5"/>
        <v>KS QD</v>
      </c>
      <c r="D140" t="s">
        <v>24</v>
      </c>
      <c r="E140" t="s">
        <v>26</v>
      </c>
      <c r="F140">
        <v>134224677</v>
      </c>
      <c r="G140">
        <v>67127839</v>
      </c>
    </row>
    <row r="141" spans="2:7" x14ac:dyDescent="0.3">
      <c r="B141" t="str">
        <f t="shared" si="4"/>
        <v>KQo</v>
      </c>
      <c r="C141" t="str">
        <f t="shared" si="5"/>
        <v>KS QH</v>
      </c>
      <c r="D141" t="s">
        <v>24</v>
      </c>
      <c r="E141" t="s">
        <v>27</v>
      </c>
      <c r="F141">
        <v>134224677</v>
      </c>
      <c r="G141">
        <v>67119647</v>
      </c>
    </row>
    <row r="142" spans="2:7" x14ac:dyDescent="0.3">
      <c r="B142" t="str">
        <f t="shared" si="4"/>
        <v>QQ</v>
      </c>
      <c r="C142" t="str">
        <f t="shared" si="5"/>
        <v>QC QD</v>
      </c>
      <c r="D142" t="s">
        <v>25</v>
      </c>
      <c r="E142" t="s">
        <v>26</v>
      </c>
      <c r="F142">
        <v>67144223</v>
      </c>
      <c r="G142">
        <v>67127839</v>
      </c>
    </row>
    <row r="143" spans="2:7" x14ac:dyDescent="0.3">
      <c r="B143" t="str">
        <f t="shared" si="4"/>
        <v>QQ</v>
      </c>
      <c r="C143" t="str">
        <f t="shared" si="5"/>
        <v>QC QH</v>
      </c>
      <c r="D143" t="s">
        <v>25</v>
      </c>
      <c r="E143" t="s">
        <v>27</v>
      </c>
      <c r="F143">
        <v>67144223</v>
      </c>
      <c r="G143">
        <v>67119647</v>
      </c>
    </row>
    <row r="144" spans="2:7" x14ac:dyDescent="0.3">
      <c r="B144" t="str">
        <f t="shared" si="4"/>
        <v>QQ</v>
      </c>
      <c r="C144" t="str">
        <f t="shared" si="5"/>
        <v>QC QS</v>
      </c>
      <c r="D144" t="s">
        <v>25</v>
      </c>
      <c r="E144" t="s">
        <v>28</v>
      </c>
      <c r="F144">
        <v>67144223</v>
      </c>
      <c r="G144">
        <v>67115551</v>
      </c>
    </row>
    <row r="145" spans="2:7" x14ac:dyDescent="0.3">
      <c r="B145" t="str">
        <f t="shared" si="4"/>
        <v>QQ</v>
      </c>
      <c r="C145" t="str">
        <f t="shared" si="5"/>
        <v>QD QH</v>
      </c>
      <c r="D145" t="s">
        <v>26</v>
      </c>
      <c r="E145" t="s">
        <v>27</v>
      </c>
      <c r="F145">
        <v>67127839</v>
      </c>
      <c r="G145">
        <v>67119647</v>
      </c>
    </row>
    <row r="146" spans="2:7" x14ac:dyDescent="0.3">
      <c r="B146" t="str">
        <f t="shared" si="4"/>
        <v>QQ</v>
      </c>
      <c r="C146" t="str">
        <f t="shared" si="5"/>
        <v>QD QS</v>
      </c>
      <c r="D146" t="s">
        <v>26</v>
      </c>
      <c r="E146" t="s">
        <v>28</v>
      </c>
      <c r="F146">
        <v>67127839</v>
      </c>
      <c r="G146">
        <v>67115551</v>
      </c>
    </row>
    <row r="147" spans="2:7" x14ac:dyDescent="0.3">
      <c r="B147" t="str">
        <f t="shared" si="4"/>
        <v>QQ</v>
      </c>
      <c r="C147" t="str">
        <f t="shared" si="5"/>
        <v>QH QS</v>
      </c>
      <c r="D147" t="s">
        <v>27</v>
      </c>
      <c r="E147" t="s">
        <v>28</v>
      </c>
      <c r="F147">
        <v>67119647</v>
      </c>
      <c r="G147">
        <v>67115551</v>
      </c>
    </row>
    <row r="148" spans="2:7" x14ac:dyDescent="0.3">
      <c r="B148" t="str">
        <f t="shared" si="4"/>
        <v>QJs</v>
      </c>
      <c r="C148" t="str">
        <f t="shared" si="5"/>
        <v>QC JC</v>
      </c>
      <c r="D148" t="s">
        <v>25</v>
      </c>
      <c r="E148" t="s">
        <v>29</v>
      </c>
      <c r="F148">
        <v>67144223</v>
      </c>
      <c r="G148">
        <v>33589533</v>
      </c>
    </row>
    <row r="149" spans="2:7" x14ac:dyDescent="0.3">
      <c r="B149" t="str">
        <f t="shared" si="4"/>
        <v>QJs</v>
      </c>
      <c r="C149" t="str">
        <f t="shared" si="5"/>
        <v>QD JD</v>
      </c>
      <c r="D149" t="s">
        <v>26</v>
      </c>
      <c r="E149" t="s">
        <v>30</v>
      </c>
      <c r="F149">
        <v>67127839</v>
      </c>
      <c r="G149">
        <v>33573149</v>
      </c>
    </row>
    <row r="150" spans="2:7" x14ac:dyDescent="0.3">
      <c r="B150" t="str">
        <f t="shared" si="4"/>
        <v>QJs</v>
      </c>
      <c r="C150" t="str">
        <f t="shared" si="5"/>
        <v>QH JH</v>
      </c>
      <c r="D150" t="s">
        <v>27</v>
      </c>
      <c r="E150" t="s">
        <v>31</v>
      </c>
      <c r="F150">
        <v>67119647</v>
      </c>
      <c r="G150">
        <v>33564957</v>
      </c>
    </row>
    <row r="151" spans="2:7" x14ac:dyDescent="0.3">
      <c r="B151" t="str">
        <f t="shared" si="4"/>
        <v>QJs</v>
      </c>
      <c r="C151" t="str">
        <f t="shared" si="5"/>
        <v>QS JS</v>
      </c>
      <c r="D151" t="s">
        <v>28</v>
      </c>
      <c r="E151" t="s">
        <v>32</v>
      </c>
      <c r="F151">
        <v>67115551</v>
      </c>
      <c r="G151">
        <v>33560861</v>
      </c>
    </row>
    <row r="152" spans="2:7" x14ac:dyDescent="0.3">
      <c r="B152" t="str">
        <f t="shared" si="4"/>
        <v>QTs</v>
      </c>
      <c r="C152" t="str">
        <f t="shared" si="5"/>
        <v>QC TC</v>
      </c>
      <c r="D152" t="s">
        <v>25</v>
      </c>
      <c r="E152" t="s">
        <v>33</v>
      </c>
      <c r="F152">
        <v>67144223</v>
      </c>
      <c r="G152">
        <v>16812055</v>
      </c>
    </row>
    <row r="153" spans="2:7" x14ac:dyDescent="0.3">
      <c r="B153" t="str">
        <f t="shared" si="4"/>
        <v>QTs</v>
      </c>
      <c r="C153" t="str">
        <f t="shared" si="5"/>
        <v>QD TD</v>
      </c>
      <c r="D153" t="s">
        <v>26</v>
      </c>
      <c r="E153" t="s">
        <v>34</v>
      </c>
      <c r="F153">
        <v>67127839</v>
      </c>
      <c r="G153">
        <v>16795671</v>
      </c>
    </row>
    <row r="154" spans="2:7" x14ac:dyDescent="0.3">
      <c r="B154" t="str">
        <f t="shared" si="4"/>
        <v>QTs</v>
      </c>
      <c r="C154" t="str">
        <f t="shared" si="5"/>
        <v>QH TH</v>
      </c>
      <c r="D154" t="s">
        <v>27</v>
      </c>
      <c r="E154" t="s">
        <v>35</v>
      </c>
      <c r="F154">
        <v>67119647</v>
      </c>
      <c r="G154">
        <v>16787479</v>
      </c>
    </row>
    <row r="155" spans="2:7" x14ac:dyDescent="0.3">
      <c r="B155" t="str">
        <f t="shared" si="4"/>
        <v>QTs</v>
      </c>
      <c r="C155" t="str">
        <f t="shared" si="5"/>
        <v>QS TS</v>
      </c>
      <c r="D155" t="s">
        <v>28</v>
      </c>
      <c r="E155" t="s">
        <v>36</v>
      </c>
      <c r="F155">
        <v>67115551</v>
      </c>
      <c r="G155">
        <v>16783383</v>
      </c>
    </row>
    <row r="156" spans="2:7" x14ac:dyDescent="0.3">
      <c r="B156" t="str">
        <f t="shared" si="4"/>
        <v>Q9s</v>
      </c>
      <c r="C156" t="str">
        <f t="shared" si="5"/>
        <v>QC 9C</v>
      </c>
      <c r="D156" t="s">
        <v>25</v>
      </c>
      <c r="E156" t="s">
        <v>37</v>
      </c>
      <c r="F156">
        <v>67144223</v>
      </c>
      <c r="G156">
        <v>8423187</v>
      </c>
    </row>
    <row r="157" spans="2:7" x14ac:dyDescent="0.3">
      <c r="B157" t="str">
        <f t="shared" si="4"/>
        <v>Q9s</v>
      </c>
      <c r="C157" t="str">
        <f t="shared" si="5"/>
        <v>QD 9D</v>
      </c>
      <c r="D157" t="s">
        <v>26</v>
      </c>
      <c r="E157" t="s">
        <v>38</v>
      </c>
      <c r="F157">
        <v>67127839</v>
      </c>
      <c r="G157">
        <v>8406803</v>
      </c>
    </row>
    <row r="158" spans="2:7" x14ac:dyDescent="0.3">
      <c r="B158" t="str">
        <f t="shared" si="4"/>
        <v>Q9s</v>
      </c>
      <c r="C158" t="str">
        <f t="shared" si="5"/>
        <v>QH 9H</v>
      </c>
      <c r="D158" t="s">
        <v>27</v>
      </c>
      <c r="E158" t="s">
        <v>39</v>
      </c>
      <c r="F158">
        <v>67119647</v>
      </c>
      <c r="G158">
        <v>8398611</v>
      </c>
    </row>
    <row r="159" spans="2:7" x14ac:dyDescent="0.3">
      <c r="B159" t="str">
        <f t="shared" si="4"/>
        <v>Q9s</v>
      </c>
      <c r="C159" t="str">
        <f t="shared" si="5"/>
        <v>QS 9S</v>
      </c>
      <c r="D159" t="s">
        <v>28</v>
      </c>
      <c r="E159" t="s">
        <v>40</v>
      </c>
      <c r="F159">
        <v>67115551</v>
      </c>
      <c r="G159">
        <v>8394515</v>
      </c>
    </row>
    <row r="160" spans="2:7" x14ac:dyDescent="0.3">
      <c r="B160" t="str">
        <f t="shared" si="4"/>
        <v>Q8s</v>
      </c>
      <c r="C160" t="str">
        <f t="shared" si="5"/>
        <v>QC 8C</v>
      </c>
      <c r="D160" t="s">
        <v>25</v>
      </c>
      <c r="E160" t="s">
        <v>41</v>
      </c>
      <c r="F160">
        <v>67144223</v>
      </c>
      <c r="G160">
        <v>4228625</v>
      </c>
    </row>
    <row r="161" spans="2:7" x14ac:dyDescent="0.3">
      <c r="B161" t="str">
        <f t="shared" si="4"/>
        <v>Q8s</v>
      </c>
      <c r="C161" t="str">
        <f t="shared" si="5"/>
        <v>QD 8D</v>
      </c>
      <c r="D161" t="s">
        <v>26</v>
      </c>
      <c r="E161" t="s">
        <v>42</v>
      </c>
      <c r="F161">
        <v>67127839</v>
      </c>
      <c r="G161">
        <v>4212241</v>
      </c>
    </row>
    <row r="162" spans="2:7" x14ac:dyDescent="0.3">
      <c r="B162" t="str">
        <f t="shared" si="4"/>
        <v>Q8s</v>
      </c>
      <c r="C162" t="str">
        <f t="shared" si="5"/>
        <v>QH 8H</v>
      </c>
      <c r="D162" t="s">
        <v>27</v>
      </c>
      <c r="E162" t="s">
        <v>43</v>
      </c>
      <c r="F162">
        <v>67119647</v>
      </c>
      <c r="G162">
        <v>4204049</v>
      </c>
    </row>
    <row r="163" spans="2:7" x14ac:dyDescent="0.3">
      <c r="B163" t="str">
        <f t="shared" si="4"/>
        <v>Q8s</v>
      </c>
      <c r="C163" t="str">
        <f t="shared" si="5"/>
        <v>QS 8S</v>
      </c>
      <c r="D163" t="s">
        <v>28</v>
      </c>
      <c r="E163" t="s">
        <v>44</v>
      </c>
      <c r="F163">
        <v>67115551</v>
      </c>
      <c r="G163">
        <v>4199953</v>
      </c>
    </row>
    <row r="164" spans="2:7" x14ac:dyDescent="0.3">
      <c r="B164" t="str">
        <f t="shared" si="4"/>
        <v>Q7s</v>
      </c>
      <c r="C164" t="str">
        <f t="shared" si="5"/>
        <v>QC 7C</v>
      </c>
      <c r="D164" t="s">
        <v>25</v>
      </c>
      <c r="E164" t="s">
        <v>45</v>
      </c>
      <c r="F164">
        <v>67144223</v>
      </c>
      <c r="G164">
        <v>2131213</v>
      </c>
    </row>
    <row r="165" spans="2:7" x14ac:dyDescent="0.3">
      <c r="B165" t="str">
        <f t="shared" si="4"/>
        <v>Q7s</v>
      </c>
      <c r="C165" t="str">
        <f t="shared" si="5"/>
        <v>QD 7D</v>
      </c>
      <c r="D165" t="s">
        <v>26</v>
      </c>
      <c r="E165" t="s">
        <v>46</v>
      </c>
      <c r="F165">
        <v>67127839</v>
      </c>
      <c r="G165">
        <v>2114829</v>
      </c>
    </row>
    <row r="166" spans="2:7" x14ac:dyDescent="0.3">
      <c r="B166" t="str">
        <f t="shared" si="4"/>
        <v>Q7s</v>
      </c>
      <c r="C166" t="str">
        <f t="shared" si="5"/>
        <v>QH 7H</v>
      </c>
      <c r="D166" t="s">
        <v>27</v>
      </c>
      <c r="E166" t="s">
        <v>47</v>
      </c>
      <c r="F166">
        <v>67119647</v>
      </c>
      <c r="G166">
        <v>2106637</v>
      </c>
    </row>
    <row r="167" spans="2:7" x14ac:dyDescent="0.3">
      <c r="B167" t="str">
        <f t="shared" si="4"/>
        <v>Q7s</v>
      </c>
      <c r="C167" t="str">
        <f t="shared" si="5"/>
        <v>QS 7S</v>
      </c>
      <c r="D167" t="s">
        <v>28</v>
      </c>
      <c r="E167" t="s">
        <v>48</v>
      </c>
      <c r="F167">
        <v>67115551</v>
      </c>
      <c r="G167">
        <v>2102541</v>
      </c>
    </row>
    <row r="168" spans="2:7" x14ac:dyDescent="0.3">
      <c r="B168" t="str">
        <f t="shared" si="4"/>
        <v>Q6s</v>
      </c>
      <c r="C168" t="str">
        <f t="shared" si="5"/>
        <v>QC 6C</v>
      </c>
      <c r="D168" t="s">
        <v>25</v>
      </c>
      <c r="E168" t="s">
        <v>49</v>
      </c>
      <c r="F168">
        <v>67144223</v>
      </c>
      <c r="G168">
        <v>1082379</v>
      </c>
    </row>
    <row r="169" spans="2:7" x14ac:dyDescent="0.3">
      <c r="B169" t="str">
        <f t="shared" si="4"/>
        <v>Q6s</v>
      </c>
      <c r="C169" t="str">
        <f t="shared" si="5"/>
        <v>QD 6D</v>
      </c>
      <c r="D169" t="s">
        <v>26</v>
      </c>
      <c r="E169" t="s">
        <v>50</v>
      </c>
      <c r="F169">
        <v>67127839</v>
      </c>
      <c r="G169">
        <v>1065995</v>
      </c>
    </row>
    <row r="170" spans="2:7" x14ac:dyDescent="0.3">
      <c r="B170" t="str">
        <f t="shared" si="4"/>
        <v>Q6s</v>
      </c>
      <c r="C170" t="str">
        <f t="shared" si="5"/>
        <v>QH 6H</v>
      </c>
      <c r="D170" t="s">
        <v>27</v>
      </c>
      <c r="E170" t="s">
        <v>51</v>
      </c>
      <c r="F170">
        <v>67119647</v>
      </c>
      <c r="G170">
        <v>1057803</v>
      </c>
    </row>
    <row r="171" spans="2:7" x14ac:dyDescent="0.3">
      <c r="B171" t="str">
        <f t="shared" si="4"/>
        <v>Q6s</v>
      </c>
      <c r="C171" t="str">
        <f t="shared" si="5"/>
        <v>QS 6S</v>
      </c>
      <c r="D171" t="s">
        <v>28</v>
      </c>
      <c r="E171" t="s">
        <v>52</v>
      </c>
      <c r="F171">
        <v>67115551</v>
      </c>
      <c r="G171">
        <v>1053707</v>
      </c>
    </row>
    <row r="172" spans="2:7" x14ac:dyDescent="0.3">
      <c r="B172" t="str">
        <f t="shared" si="4"/>
        <v>Q5s</v>
      </c>
      <c r="C172" t="str">
        <f t="shared" si="5"/>
        <v>QC 5C</v>
      </c>
      <c r="D172" t="s">
        <v>25</v>
      </c>
      <c r="E172" t="s">
        <v>53</v>
      </c>
      <c r="F172">
        <v>67144223</v>
      </c>
      <c r="G172">
        <v>557831</v>
      </c>
    </row>
    <row r="173" spans="2:7" x14ac:dyDescent="0.3">
      <c r="B173" t="str">
        <f t="shared" si="4"/>
        <v>Q5s</v>
      </c>
      <c r="C173" t="str">
        <f t="shared" si="5"/>
        <v>QD 5D</v>
      </c>
      <c r="D173" t="s">
        <v>26</v>
      </c>
      <c r="E173" t="s">
        <v>54</v>
      </c>
      <c r="F173">
        <v>67127839</v>
      </c>
      <c r="G173">
        <v>541447</v>
      </c>
    </row>
    <row r="174" spans="2:7" x14ac:dyDescent="0.3">
      <c r="B174" t="str">
        <f t="shared" si="4"/>
        <v>Q5s</v>
      </c>
      <c r="C174" t="str">
        <f t="shared" si="5"/>
        <v>QH 5H</v>
      </c>
      <c r="D174" t="s">
        <v>27</v>
      </c>
      <c r="E174" t="s">
        <v>55</v>
      </c>
      <c r="F174">
        <v>67119647</v>
      </c>
      <c r="G174">
        <v>533255</v>
      </c>
    </row>
    <row r="175" spans="2:7" x14ac:dyDescent="0.3">
      <c r="B175" t="str">
        <f t="shared" si="4"/>
        <v>Q5s</v>
      </c>
      <c r="C175" t="str">
        <f t="shared" si="5"/>
        <v>QS 5S</v>
      </c>
      <c r="D175" t="s">
        <v>28</v>
      </c>
      <c r="E175" t="s">
        <v>56</v>
      </c>
      <c r="F175">
        <v>67115551</v>
      </c>
      <c r="G175">
        <v>529159</v>
      </c>
    </row>
    <row r="176" spans="2:7" x14ac:dyDescent="0.3">
      <c r="B176" t="str">
        <f t="shared" si="4"/>
        <v>Q4s</v>
      </c>
      <c r="C176" t="str">
        <f t="shared" si="5"/>
        <v>QC 4C</v>
      </c>
      <c r="D176" t="s">
        <v>25</v>
      </c>
      <c r="E176" t="s">
        <v>57</v>
      </c>
      <c r="F176">
        <v>67144223</v>
      </c>
      <c r="G176">
        <v>295429</v>
      </c>
    </row>
    <row r="177" spans="2:7" x14ac:dyDescent="0.3">
      <c r="B177" t="str">
        <f t="shared" si="4"/>
        <v>Q4s</v>
      </c>
      <c r="C177" t="str">
        <f t="shared" si="5"/>
        <v>QD 4D</v>
      </c>
      <c r="D177" t="s">
        <v>26</v>
      </c>
      <c r="E177" t="s">
        <v>58</v>
      </c>
      <c r="F177">
        <v>67127839</v>
      </c>
      <c r="G177">
        <v>279045</v>
      </c>
    </row>
    <row r="178" spans="2:7" x14ac:dyDescent="0.3">
      <c r="B178" t="str">
        <f t="shared" si="4"/>
        <v>Q4s</v>
      </c>
      <c r="C178" t="str">
        <f t="shared" si="5"/>
        <v>QH 4H</v>
      </c>
      <c r="D178" t="s">
        <v>27</v>
      </c>
      <c r="E178" t="s">
        <v>59</v>
      </c>
      <c r="F178">
        <v>67119647</v>
      </c>
      <c r="G178">
        <v>270853</v>
      </c>
    </row>
    <row r="179" spans="2:7" x14ac:dyDescent="0.3">
      <c r="B179" t="str">
        <f t="shared" si="4"/>
        <v>Q4s</v>
      </c>
      <c r="C179" t="str">
        <f t="shared" si="5"/>
        <v>QS 4S</v>
      </c>
      <c r="D179" t="s">
        <v>28</v>
      </c>
      <c r="E179" t="s">
        <v>60</v>
      </c>
      <c r="F179">
        <v>67115551</v>
      </c>
      <c r="G179">
        <v>266757</v>
      </c>
    </row>
    <row r="180" spans="2:7" x14ac:dyDescent="0.3">
      <c r="B180" t="str">
        <f t="shared" si="4"/>
        <v>Q3s</v>
      </c>
      <c r="C180" t="str">
        <f t="shared" si="5"/>
        <v>QC 3C</v>
      </c>
      <c r="D180" t="s">
        <v>25</v>
      </c>
      <c r="E180" t="s">
        <v>61</v>
      </c>
      <c r="F180">
        <v>67144223</v>
      </c>
      <c r="G180">
        <v>164099</v>
      </c>
    </row>
    <row r="181" spans="2:7" x14ac:dyDescent="0.3">
      <c r="B181" t="str">
        <f t="shared" si="4"/>
        <v>Q3s</v>
      </c>
      <c r="C181" t="str">
        <f t="shared" si="5"/>
        <v>QD 3D</v>
      </c>
      <c r="D181" t="s">
        <v>26</v>
      </c>
      <c r="E181" t="s">
        <v>62</v>
      </c>
      <c r="F181">
        <v>67127839</v>
      </c>
      <c r="G181">
        <v>147715</v>
      </c>
    </row>
    <row r="182" spans="2:7" x14ac:dyDescent="0.3">
      <c r="B182" t="str">
        <f t="shared" si="4"/>
        <v>Q3s</v>
      </c>
      <c r="C182" t="str">
        <f t="shared" si="5"/>
        <v>QH 3H</v>
      </c>
      <c r="D182" t="s">
        <v>27</v>
      </c>
      <c r="E182" t="s">
        <v>63</v>
      </c>
      <c r="F182">
        <v>67119647</v>
      </c>
      <c r="G182">
        <v>139523</v>
      </c>
    </row>
    <row r="183" spans="2:7" x14ac:dyDescent="0.3">
      <c r="B183" t="str">
        <f t="shared" si="4"/>
        <v>Q3s</v>
      </c>
      <c r="C183" t="str">
        <f t="shared" si="5"/>
        <v>QS 3S</v>
      </c>
      <c r="D183" t="s">
        <v>28</v>
      </c>
      <c r="E183" t="s">
        <v>64</v>
      </c>
      <c r="F183">
        <v>67115551</v>
      </c>
      <c r="G183">
        <v>135427</v>
      </c>
    </row>
    <row r="184" spans="2:7" x14ac:dyDescent="0.3">
      <c r="B184" t="str">
        <f t="shared" si="4"/>
        <v>Q2s</v>
      </c>
      <c r="C184" t="str">
        <f t="shared" si="5"/>
        <v>QC 2C</v>
      </c>
      <c r="D184" t="s">
        <v>25</v>
      </c>
      <c r="E184" t="s">
        <v>65</v>
      </c>
      <c r="F184">
        <v>67144223</v>
      </c>
      <c r="G184">
        <v>98306</v>
      </c>
    </row>
    <row r="185" spans="2:7" x14ac:dyDescent="0.3">
      <c r="B185" t="str">
        <f t="shared" si="4"/>
        <v>Q2s</v>
      </c>
      <c r="C185" t="str">
        <f t="shared" si="5"/>
        <v>QD 2D</v>
      </c>
      <c r="D185" t="s">
        <v>26</v>
      </c>
      <c r="E185" t="s">
        <v>66</v>
      </c>
      <c r="F185">
        <v>67127839</v>
      </c>
      <c r="G185">
        <v>81922</v>
      </c>
    </row>
    <row r="186" spans="2:7" x14ac:dyDescent="0.3">
      <c r="B186" t="str">
        <f t="shared" si="4"/>
        <v>Q2s</v>
      </c>
      <c r="C186" t="str">
        <f t="shared" si="5"/>
        <v>QH 2H</v>
      </c>
      <c r="D186" t="s">
        <v>27</v>
      </c>
      <c r="E186" t="s">
        <v>67</v>
      </c>
      <c r="F186">
        <v>67119647</v>
      </c>
      <c r="G186">
        <v>73730</v>
      </c>
    </row>
    <row r="187" spans="2:7" x14ac:dyDescent="0.3">
      <c r="B187" t="str">
        <f t="shared" si="4"/>
        <v>Q2s</v>
      </c>
      <c r="C187" t="str">
        <f t="shared" si="5"/>
        <v>QS 2S</v>
      </c>
      <c r="D187" t="s">
        <v>28</v>
      </c>
      <c r="E187" t="s">
        <v>68</v>
      </c>
      <c r="F187">
        <v>67115551</v>
      </c>
      <c r="G187">
        <v>69634</v>
      </c>
    </row>
    <row r="188" spans="2:7" x14ac:dyDescent="0.3">
      <c r="B188" t="str">
        <f t="shared" si="4"/>
        <v>AJo</v>
      </c>
      <c r="C188" t="str">
        <f t="shared" si="5"/>
        <v>AC JD</v>
      </c>
      <c r="D188" t="s">
        <v>17</v>
      </c>
      <c r="E188" t="s">
        <v>30</v>
      </c>
      <c r="F188">
        <v>268471337</v>
      </c>
      <c r="G188">
        <v>33573149</v>
      </c>
    </row>
    <row r="189" spans="2:7" x14ac:dyDescent="0.3">
      <c r="B189" t="str">
        <f t="shared" si="4"/>
        <v>AJo</v>
      </c>
      <c r="C189" t="str">
        <f t="shared" si="5"/>
        <v>AC JH</v>
      </c>
      <c r="D189" t="s">
        <v>17</v>
      </c>
      <c r="E189" t="s">
        <v>31</v>
      </c>
      <c r="F189">
        <v>268471337</v>
      </c>
      <c r="G189">
        <v>33564957</v>
      </c>
    </row>
    <row r="190" spans="2:7" x14ac:dyDescent="0.3">
      <c r="B190" t="str">
        <f t="shared" si="4"/>
        <v>AJo</v>
      </c>
      <c r="C190" t="str">
        <f t="shared" si="5"/>
        <v>AC JS</v>
      </c>
      <c r="D190" t="s">
        <v>17</v>
      </c>
      <c r="E190" t="s">
        <v>32</v>
      </c>
      <c r="F190">
        <v>268471337</v>
      </c>
      <c r="G190">
        <v>33560861</v>
      </c>
    </row>
    <row r="191" spans="2:7" x14ac:dyDescent="0.3">
      <c r="B191" t="str">
        <f t="shared" si="4"/>
        <v>AJo</v>
      </c>
      <c r="C191" t="str">
        <f t="shared" si="5"/>
        <v>AD JC</v>
      </c>
      <c r="D191" t="s">
        <v>18</v>
      </c>
      <c r="E191" t="s">
        <v>29</v>
      </c>
      <c r="F191">
        <v>268454953</v>
      </c>
      <c r="G191">
        <v>33589533</v>
      </c>
    </row>
    <row r="192" spans="2:7" x14ac:dyDescent="0.3">
      <c r="B192" t="str">
        <f t="shared" si="4"/>
        <v>AJo</v>
      </c>
      <c r="C192" t="str">
        <f t="shared" si="5"/>
        <v>AD JH</v>
      </c>
      <c r="D192" t="s">
        <v>18</v>
      </c>
      <c r="E192" t="s">
        <v>31</v>
      </c>
      <c r="F192">
        <v>268454953</v>
      </c>
      <c r="G192">
        <v>33564957</v>
      </c>
    </row>
    <row r="193" spans="2:7" x14ac:dyDescent="0.3">
      <c r="B193" t="str">
        <f t="shared" si="4"/>
        <v>AJo</v>
      </c>
      <c r="C193" t="str">
        <f t="shared" si="5"/>
        <v>AD JS</v>
      </c>
      <c r="D193" t="s">
        <v>18</v>
      </c>
      <c r="E193" t="s">
        <v>32</v>
      </c>
      <c r="F193">
        <v>268454953</v>
      </c>
      <c r="G193">
        <v>33560861</v>
      </c>
    </row>
    <row r="194" spans="2:7" x14ac:dyDescent="0.3">
      <c r="B194" t="str">
        <f t="shared" si="4"/>
        <v>AJo</v>
      </c>
      <c r="C194" t="str">
        <f t="shared" si="5"/>
        <v>AH JC</v>
      </c>
      <c r="D194" t="s">
        <v>19</v>
      </c>
      <c r="E194" t="s">
        <v>29</v>
      </c>
      <c r="F194">
        <v>268446761</v>
      </c>
      <c r="G194">
        <v>33589533</v>
      </c>
    </row>
    <row r="195" spans="2:7" x14ac:dyDescent="0.3">
      <c r="B195" t="str">
        <f t="shared" ref="B195:B258" si="6">LEFT(D195,1)&amp;LEFT(E195,1)&amp;IF(LEFT(D195,1)=LEFT(E195,1), "", IF(RIGHT(D195,1)=RIGHT(E195,1), "s", "o"))</f>
        <v>AJo</v>
      </c>
      <c r="C195" t="str">
        <f t="shared" ref="C195:C258" si="7">UPPER(D195&amp;" "&amp;E195)</f>
        <v>AH JD</v>
      </c>
      <c r="D195" t="s">
        <v>19</v>
      </c>
      <c r="E195" t="s">
        <v>30</v>
      </c>
      <c r="F195">
        <v>268446761</v>
      </c>
      <c r="G195">
        <v>33573149</v>
      </c>
    </row>
    <row r="196" spans="2:7" x14ac:dyDescent="0.3">
      <c r="B196" t="str">
        <f t="shared" si="6"/>
        <v>AJo</v>
      </c>
      <c r="C196" t="str">
        <f t="shared" si="7"/>
        <v>AH JS</v>
      </c>
      <c r="D196" t="s">
        <v>19</v>
      </c>
      <c r="E196" t="s">
        <v>32</v>
      </c>
      <c r="F196">
        <v>268446761</v>
      </c>
      <c r="G196">
        <v>33560861</v>
      </c>
    </row>
    <row r="197" spans="2:7" x14ac:dyDescent="0.3">
      <c r="B197" t="str">
        <f t="shared" si="6"/>
        <v>AJo</v>
      </c>
      <c r="C197" t="str">
        <f t="shared" si="7"/>
        <v>AS JC</v>
      </c>
      <c r="D197" t="s">
        <v>20</v>
      </c>
      <c r="E197" t="s">
        <v>29</v>
      </c>
      <c r="F197">
        <v>268442665</v>
      </c>
      <c r="G197">
        <v>33589533</v>
      </c>
    </row>
    <row r="198" spans="2:7" x14ac:dyDescent="0.3">
      <c r="B198" t="str">
        <f t="shared" si="6"/>
        <v>AJo</v>
      </c>
      <c r="C198" t="str">
        <f t="shared" si="7"/>
        <v>AS JD</v>
      </c>
      <c r="D198" t="s">
        <v>20</v>
      </c>
      <c r="E198" t="s">
        <v>30</v>
      </c>
      <c r="F198">
        <v>268442665</v>
      </c>
      <c r="G198">
        <v>33573149</v>
      </c>
    </row>
    <row r="199" spans="2:7" x14ac:dyDescent="0.3">
      <c r="B199" t="str">
        <f t="shared" si="6"/>
        <v>AJo</v>
      </c>
      <c r="C199" t="str">
        <f t="shared" si="7"/>
        <v>AS JH</v>
      </c>
      <c r="D199" t="s">
        <v>20</v>
      </c>
      <c r="E199" t="s">
        <v>31</v>
      </c>
      <c r="F199">
        <v>268442665</v>
      </c>
      <c r="G199">
        <v>33564957</v>
      </c>
    </row>
    <row r="200" spans="2:7" x14ac:dyDescent="0.3">
      <c r="B200" t="str">
        <f t="shared" si="6"/>
        <v>KJo</v>
      </c>
      <c r="C200" t="str">
        <f t="shared" si="7"/>
        <v>KC JD</v>
      </c>
      <c r="D200" t="s">
        <v>21</v>
      </c>
      <c r="E200" t="s">
        <v>30</v>
      </c>
      <c r="F200">
        <v>134253349</v>
      </c>
      <c r="G200">
        <v>33573149</v>
      </c>
    </row>
    <row r="201" spans="2:7" x14ac:dyDescent="0.3">
      <c r="B201" t="str">
        <f t="shared" si="6"/>
        <v>KJo</v>
      </c>
      <c r="C201" t="str">
        <f t="shared" si="7"/>
        <v>KC JH</v>
      </c>
      <c r="D201" t="s">
        <v>21</v>
      </c>
      <c r="E201" t="s">
        <v>31</v>
      </c>
      <c r="F201">
        <v>134253349</v>
      </c>
      <c r="G201">
        <v>33564957</v>
      </c>
    </row>
    <row r="202" spans="2:7" x14ac:dyDescent="0.3">
      <c r="B202" t="str">
        <f t="shared" si="6"/>
        <v>KJo</v>
      </c>
      <c r="C202" t="str">
        <f t="shared" si="7"/>
        <v>KC JS</v>
      </c>
      <c r="D202" t="s">
        <v>21</v>
      </c>
      <c r="E202" t="s">
        <v>32</v>
      </c>
      <c r="F202">
        <v>134253349</v>
      </c>
      <c r="G202">
        <v>33560861</v>
      </c>
    </row>
    <row r="203" spans="2:7" x14ac:dyDescent="0.3">
      <c r="B203" t="str">
        <f t="shared" si="6"/>
        <v>KJo</v>
      </c>
      <c r="C203" t="str">
        <f t="shared" si="7"/>
        <v>KD JC</v>
      </c>
      <c r="D203" t="s">
        <v>22</v>
      </c>
      <c r="E203" t="s">
        <v>29</v>
      </c>
      <c r="F203">
        <v>134236965</v>
      </c>
      <c r="G203">
        <v>33589533</v>
      </c>
    </row>
    <row r="204" spans="2:7" x14ac:dyDescent="0.3">
      <c r="B204" t="str">
        <f t="shared" si="6"/>
        <v>KJo</v>
      </c>
      <c r="C204" t="str">
        <f t="shared" si="7"/>
        <v>KD JH</v>
      </c>
      <c r="D204" t="s">
        <v>22</v>
      </c>
      <c r="E204" t="s">
        <v>31</v>
      </c>
      <c r="F204">
        <v>134236965</v>
      </c>
      <c r="G204">
        <v>33564957</v>
      </c>
    </row>
    <row r="205" spans="2:7" x14ac:dyDescent="0.3">
      <c r="B205" t="str">
        <f t="shared" si="6"/>
        <v>KJo</v>
      </c>
      <c r="C205" t="str">
        <f t="shared" si="7"/>
        <v>KD JS</v>
      </c>
      <c r="D205" t="s">
        <v>22</v>
      </c>
      <c r="E205" t="s">
        <v>32</v>
      </c>
      <c r="F205">
        <v>134236965</v>
      </c>
      <c r="G205">
        <v>33560861</v>
      </c>
    </row>
    <row r="206" spans="2:7" x14ac:dyDescent="0.3">
      <c r="B206" t="str">
        <f t="shared" si="6"/>
        <v>KJo</v>
      </c>
      <c r="C206" t="str">
        <f t="shared" si="7"/>
        <v>KH JC</v>
      </c>
      <c r="D206" t="s">
        <v>23</v>
      </c>
      <c r="E206" t="s">
        <v>29</v>
      </c>
      <c r="F206">
        <v>134228773</v>
      </c>
      <c r="G206">
        <v>33589533</v>
      </c>
    </row>
    <row r="207" spans="2:7" x14ac:dyDescent="0.3">
      <c r="B207" t="str">
        <f t="shared" si="6"/>
        <v>KJo</v>
      </c>
      <c r="C207" t="str">
        <f t="shared" si="7"/>
        <v>KH JD</v>
      </c>
      <c r="D207" t="s">
        <v>23</v>
      </c>
      <c r="E207" t="s">
        <v>30</v>
      </c>
      <c r="F207">
        <v>134228773</v>
      </c>
      <c r="G207">
        <v>33573149</v>
      </c>
    </row>
    <row r="208" spans="2:7" x14ac:dyDescent="0.3">
      <c r="B208" t="str">
        <f t="shared" si="6"/>
        <v>KJo</v>
      </c>
      <c r="C208" t="str">
        <f t="shared" si="7"/>
        <v>KH JS</v>
      </c>
      <c r="D208" t="s">
        <v>23</v>
      </c>
      <c r="E208" t="s">
        <v>32</v>
      </c>
      <c r="F208">
        <v>134228773</v>
      </c>
      <c r="G208">
        <v>33560861</v>
      </c>
    </row>
    <row r="209" spans="2:7" x14ac:dyDescent="0.3">
      <c r="B209" t="str">
        <f t="shared" si="6"/>
        <v>KJo</v>
      </c>
      <c r="C209" t="str">
        <f t="shared" si="7"/>
        <v>KS JC</v>
      </c>
      <c r="D209" t="s">
        <v>24</v>
      </c>
      <c r="E209" t="s">
        <v>29</v>
      </c>
      <c r="F209">
        <v>134224677</v>
      </c>
      <c r="G209">
        <v>33589533</v>
      </c>
    </row>
    <row r="210" spans="2:7" x14ac:dyDescent="0.3">
      <c r="B210" t="str">
        <f t="shared" si="6"/>
        <v>KJo</v>
      </c>
      <c r="C210" t="str">
        <f t="shared" si="7"/>
        <v>KS JD</v>
      </c>
      <c r="D210" t="s">
        <v>24</v>
      </c>
      <c r="E210" t="s">
        <v>30</v>
      </c>
      <c r="F210">
        <v>134224677</v>
      </c>
      <c r="G210">
        <v>33573149</v>
      </c>
    </row>
    <row r="211" spans="2:7" x14ac:dyDescent="0.3">
      <c r="B211" t="str">
        <f t="shared" si="6"/>
        <v>KJo</v>
      </c>
      <c r="C211" t="str">
        <f t="shared" si="7"/>
        <v>KS JH</v>
      </c>
      <c r="D211" t="s">
        <v>24</v>
      </c>
      <c r="E211" t="s">
        <v>31</v>
      </c>
      <c r="F211">
        <v>134224677</v>
      </c>
      <c r="G211">
        <v>33564957</v>
      </c>
    </row>
    <row r="212" spans="2:7" x14ac:dyDescent="0.3">
      <c r="B212" t="str">
        <f t="shared" si="6"/>
        <v>QJo</v>
      </c>
      <c r="C212" t="str">
        <f t="shared" si="7"/>
        <v>QC JD</v>
      </c>
      <c r="D212" t="s">
        <v>25</v>
      </c>
      <c r="E212" t="s">
        <v>30</v>
      </c>
      <c r="F212">
        <v>67144223</v>
      </c>
      <c r="G212">
        <v>33573149</v>
      </c>
    </row>
    <row r="213" spans="2:7" x14ac:dyDescent="0.3">
      <c r="B213" t="str">
        <f t="shared" si="6"/>
        <v>QJo</v>
      </c>
      <c r="C213" t="str">
        <f t="shared" si="7"/>
        <v>QC JH</v>
      </c>
      <c r="D213" t="s">
        <v>25</v>
      </c>
      <c r="E213" t="s">
        <v>31</v>
      </c>
      <c r="F213">
        <v>67144223</v>
      </c>
      <c r="G213">
        <v>33564957</v>
      </c>
    </row>
    <row r="214" spans="2:7" x14ac:dyDescent="0.3">
      <c r="B214" t="str">
        <f t="shared" si="6"/>
        <v>QJo</v>
      </c>
      <c r="C214" t="str">
        <f t="shared" si="7"/>
        <v>QC JS</v>
      </c>
      <c r="D214" t="s">
        <v>25</v>
      </c>
      <c r="E214" t="s">
        <v>32</v>
      </c>
      <c r="F214">
        <v>67144223</v>
      </c>
      <c r="G214">
        <v>33560861</v>
      </c>
    </row>
    <row r="215" spans="2:7" x14ac:dyDescent="0.3">
      <c r="B215" t="str">
        <f t="shared" si="6"/>
        <v>QJo</v>
      </c>
      <c r="C215" t="str">
        <f t="shared" si="7"/>
        <v>QD JC</v>
      </c>
      <c r="D215" t="s">
        <v>26</v>
      </c>
      <c r="E215" t="s">
        <v>29</v>
      </c>
      <c r="F215">
        <v>67127839</v>
      </c>
      <c r="G215">
        <v>33589533</v>
      </c>
    </row>
    <row r="216" spans="2:7" x14ac:dyDescent="0.3">
      <c r="B216" t="str">
        <f t="shared" si="6"/>
        <v>QJo</v>
      </c>
      <c r="C216" t="str">
        <f t="shared" si="7"/>
        <v>QD JH</v>
      </c>
      <c r="D216" t="s">
        <v>26</v>
      </c>
      <c r="E216" t="s">
        <v>31</v>
      </c>
      <c r="F216">
        <v>67127839</v>
      </c>
      <c r="G216">
        <v>33564957</v>
      </c>
    </row>
    <row r="217" spans="2:7" x14ac:dyDescent="0.3">
      <c r="B217" t="str">
        <f t="shared" si="6"/>
        <v>QJo</v>
      </c>
      <c r="C217" t="str">
        <f t="shared" si="7"/>
        <v>QD JS</v>
      </c>
      <c r="D217" t="s">
        <v>26</v>
      </c>
      <c r="E217" t="s">
        <v>32</v>
      </c>
      <c r="F217">
        <v>67127839</v>
      </c>
      <c r="G217">
        <v>33560861</v>
      </c>
    </row>
    <row r="218" spans="2:7" x14ac:dyDescent="0.3">
      <c r="B218" t="str">
        <f t="shared" si="6"/>
        <v>QJo</v>
      </c>
      <c r="C218" t="str">
        <f t="shared" si="7"/>
        <v>QH JC</v>
      </c>
      <c r="D218" t="s">
        <v>27</v>
      </c>
      <c r="E218" t="s">
        <v>29</v>
      </c>
      <c r="F218">
        <v>67119647</v>
      </c>
      <c r="G218">
        <v>33589533</v>
      </c>
    </row>
    <row r="219" spans="2:7" x14ac:dyDescent="0.3">
      <c r="B219" t="str">
        <f t="shared" si="6"/>
        <v>QJo</v>
      </c>
      <c r="C219" t="str">
        <f t="shared" si="7"/>
        <v>QH JD</v>
      </c>
      <c r="D219" t="s">
        <v>27</v>
      </c>
      <c r="E219" t="s">
        <v>30</v>
      </c>
      <c r="F219">
        <v>67119647</v>
      </c>
      <c r="G219">
        <v>33573149</v>
      </c>
    </row>
    <row r="220" spans="2:7" x14ac:dyDescent="0.3">
      <c r="B220" t="str">
        <f t="shared" si="6"/>
        <v>QJo</v>
      </c>
      <c r="C220" t="str">
        <f t="shared" si="7"/>
        <v>QH JS</v>
      </c>
      <c r="D220" t="s">
        <v>27</v>
      </c>
      <c r="E220" t="s">
        <v>32</v>
      </c>
      <c r="F220">
        <v>67119647</v>
      </c>
      <c r="G220">
        <v>33560861</v>
      </c>
    </row>
    <row r="221" spans="2:7" x14ac:dyDescent="0.3">
      <c r="B221" t="str">
        <f t="shared" si="6"/>
        <v>QJo</v>
      </c>
      <c r="C221" t="str">
        <f t="shared" si="7"/>
        <v>QS JC</v>
      </c>
      <c r="D221" t="s">
        <v>28</v>
      </c>
      <c r="E221" t="s">
        <v>29</v>
      </c>
      <c r="F221">
        <v>67115551</v>
      </c>
      <c r="G221">
        <v>33589533</v>
      </c>
    </row>
    <row r="222" spans="2:7" x14ac:dyDescent="0.3">
      <c r="B222" t="str">
        <f t="shared" si="6"/>
        <v>QJo</v>
      </c>
      <c r="C222" t="str">
        <f t="shared" si="7"/>
        <v>QS JD</v>
      </c>
      <c r="D222" t="s">
        <v>28</v>
      </c>
      <c r="E222" t="s">
        <v>30</v>
      </c>
      <c r="F222">
        <v>67115551</v>
      </c>
      <c r="G222">
        <v>33573149</v>
      </c>
    </row>
    <row r="223" spans="2:7" x14ac:dyDescent="0.3">
      <c r="B223" t="str">
        <f t="shared" si="6"/>
        <v>QJo</v>
      </c>
      <c r="C223" t="str">
        <f t="shared" si="7"/>
        <v>QS JH</v>
      </c>
      <c r="D223" t="s">
        <v>28</v>
      </c>
      <c r="E223" t="s">
        <v>31</v>
      </c>
      <c r="F223">
        <v>67115551</v>
      </c>
      <c r="G223">
        <v>33564957</v>
      </c>
    </row>
    <row r="224" spans="2:7" x14ac:dyDescent="0.3">
      <c r="B224" t="str">
        <f t="shared" si="6"/>
        <v>JJ</v>
      </c>
      <c r="C224" t="str">
        <f t="shared" si="7"/>
        <v>JC JD</v>
      </c>
      <c r="D224" t="s">
        <v>29</v>
      </c>
      <c r="E224" t="s">
        <v>30</v>
      </c>
      <c r="F224">
        <v>33589533</v>
      </c>
      <c r="G224">
        <v>33573149</v>
      </c>
    </row>
    <row r="225" spans="2:7" x14ac:dyDescent="0.3">
      <c r="B225" t="str">
        <f t="shared" si="6"/>
        <v>JJ</v>
      </c>
      <c r="C225" t="str">
        <f t="shared" si="7"/>
        <v>JC JH</v>
      </c>
      <c r="D225" t="s">
        <v>29</v>
      </c>
      <c r="E225" t="s">
        <v>31</v>
      </c>
      <c r="F225">
        <v>33589533</v>
      </c>
      <c r="G225">
        <v>33564957</v>
      </c>
    </row>
    <row r="226" spans="2:7" x14ac:dyDescent="0.3">
      <c r="B226" t="str">
        <f t="shared" si="6"/>
        <v>JJ</v>
      </c>
      <c r="C226" t="str">
        <f t="shared" si="7"/>
        <v>JC JS</v>
      </c>
      <c r="D226" t="s">
        <v>29</v>
      </c>
      <c r="E226" t="s">
        <v>32</v>
      </c>
      <c r="F226">
        <v>33589533</v>
      </c>
      <c r="G226">
        <v>33560861</v>
      </c>
    </row>
    <row r="227" spans="2:7" x14ac:dyDescent="0.3">
      <c r="B227" t="str">
        <f t="shared" si="6"/>
        <v>JJ</v>
      </c>
      <c r="C227" t="str">
        <f t="shared" si="7"/>
        <v>JD JH</v>
      </c>
      <c r="D227" t="s">
        <v>30</v>
      </c>
      <c r="E227" t="s">
        <v>31</v>
      </c>
      <c r="F227">
        <v>33573149</v>
      </c>
      <c r="G227">
        <v>33564957</v>
      </c>
    </row>
    <row r="228" spans="2:7" x14ac:dyDescent="0.3">
      <c r="B228" t="str">
        <f t="shared" si="6"/>
        <v>JJ</v>
      </c>
      <c r="C228" t="str">
        <f t="shared" si="7"/>
        <v>JD JS</v>
      </c>
      <c r="D228" t="s">
        <v>30</v>
      </c>
      <c r="E228" t="s">
        <v>32</v>
      </c>
      <c r="F228">
        <v>33573149</v>
      </c>
      <c r="G228">
        <v>33560861</v>
      </c>
    </row>
    <row r="229" spans="2:7" x14ac:dyDescent="0.3">
      <c r="B229" t="str">
        <f t="shared" si="6"/>
        <v>JJ</v>
      </c>
      <c r="C229" t="str">
        <f t="shared" si="7"/>
        <v>JH JS</v>
      </c>
      <c r="D229" t="s">
        <v>31</v>
      </c>
      <c r="E229" t="s">
        <v>32</v>
      </c>
      <c r="F229">
        <v>33564957</v>
      </c>
      <c r="G229">
        <v>33560861</v>
      </c>
    </row>
    <row r="230" spans="2:7" x14ac:dyDescent="0.3">
      <c r="B230" t="str">
        <f t="shared" si="6"/>
        <v>JTs</v>
      </c>
      <c r="C230" t="str">
        <f t="shared" si="7"/>
        <v>JC TC</v>
      </c>
      <c r="D230" t="s">
        <v>29</v>
      </c>
      <c r="E230" t="s">
        <v>33</v>
      </c>
      <c r="F230">
        <v>33589533</v>
      </c>
      <c r="G230">
        <v>16812055</v>
      </c>
    </row>
    <row r="231" spans="2:7" x14ac:dyDescent="0.3">
      <c r="B231" t="str">
        <f t="shared" si="6"/>
        <v>JTs</v>
      </c>
      <c r="C231" t="str">
        <f t="shared" si="7"/>
        <v>JD TD</v>
      </c>
      <c r="D231" t="s">
        <v>30</v>
      </c>
      <c r="E231" t="s">
        <v>34</v>
      </c>
      <c r="F231">
        <v>33573149</v>
      </c>
      <c r="G231">
        <v>16795671</v>
      </c>
    </row>
    <row r="232" spans="2:7" x14ac:dyDescent="0.3">
      <c r="B232" t="str">
        <f t="shared" si="6"/>
        <v>JTs</v>
      </c>
      <c r="C232" t="str">
        <f t="shared" si="7"/>
        <v>JH TH</v>
      </c>
      <c r="D232" t="s">
        <v>31</v>
      </c>
      <c r="E232" t="s">
        <v>35</v>
      </c>
      <c r="F232">
        <v>33564957</v>
      </c>
      <c r="G232">
        <v>16787479</v>
      </c>
    </row>
    <row r="233" spans="2:7" x14ac:dyDescent="0.3">
      <c r="B233" t="str">
        <f t="shared" si="6"/>
        <v>JTs</v>
      </c>
      <c r="C233" t="str">
        <f t="shared" si="7"/>
        <v>JS TS</v>
      </c>
      <c r="D233" t="s">
        <v>32</v>
      </c>
      <c r="E233" t="s">
        <v>36</v>
      </c>
      <c r="F233">
        <v>33560861</v>
      </c>
      <c r="G233">
        <v>16783383</v>
      </c>
    </row>
    <row r="234" spans="2:7" x14ac:dyDescent="0.3">
      <c r="B234" t="str">
        <f t="shared" si="6"/>
        <v>J9s</v>
      </c>
      <c r="C234" t="str">
        <f t="shared" si="7"/>
        <v>JC 9C</v>
      </c>
      <c r="D234" t="s">
        <v>29</v>
      </c>
      <c r="E234" t="s">
        <v>37</v>
      </c>
      <c r="F234">
        <v>33589533</v>
      </c>
      <c r="G234">
        <v>8423187</v>
      </c>
    </row>
    <row r="235" spans="2:7" x14ac:dyDescent="0.3">
      <c r="B235" t="str">
        <f t="shared" si="6"/>
        <v>J9s</v>
      </c>
      <c r="C235" t="str">
        <f t="shared" si="7"/>
        <v>JD 9D</v>
      </c>
      <c r="D235" t="s">
        <v>30</v>
      </c>
      <c r="E235" t="s">
        <v>38</v>
      </c>
      <c r="F235">
        <v>33573149</v>
      </c>
      <c r="G235">
        <v>8406803</v>
      </c>
    </row>
    <row r="236" spans="2:7" x14ac:dyDescent="0.3">
      <c r="B236" t="str">
        <f t="shared" si="6"/>
        <v>J9s</v>
      </c>
      <c r="C236" t="str">
        <f t="shared" si="7"/>
        <v>JH 9H</v>
      </c>
      <c r="D236" t="s">
        <v>31</v>
      </c>
      <c r="E236" t="s">
        <v>39</v>
      </c>
      <c r="F236">
        <v>33564957</v>
      </c>
      <c r="G236">
        <v>8398611</v>
      </c>
    </row>
    <row r="237" spans="2:7" x14ac:dyDescent="0.3">
      <c r="B237" t="str">
        <f t="shared" si="6"/>
        <v>J9s</v>
      </c>
      <c r="C237" t="str">
        <f t="shared" si="7"/>
        <v>JS 9S</v>
      </c>
      <c r="D237" t="s">
        <v>32</v>
      </c>
      <c r="E237" t="s">
        <v>40</v>
      </c>
      <c r="F237">
        <v>33560861</v>
      </c>
      <c r="G237">
        <v>8394515</v>
      </c>
    </row>
    <row r="238" spans="2:7" x14ac:dyDescent="0.3">
      <c r="B238" t="str">
        <f t="shared" si="6"/>
        <v>J8s</v>
      </c>
      <c r="C238" t="str">
        <f t="shared" si="7"/>
        <v>JC 8C</v>
      </c>
      <c r="D238" t="s">
        <v>29</v>
      </c>
      <c r="E238" t="s">
        <v>41</v>
      </c>
      <c r="F238">
        <v>33589533</v>
      </c>
      <c r="G238">
        <v>4228625</v>
      </c>
    </row>
    <row r="239" spans="2:7" x14ac:dyDescent="0.3">
      <c r="B239" t="str">
        <f t="shared" si="6"/>
        <v>J8s</v>
      </c>
      <c r="C239" t="str">
        <f t="shared" si="7"/>
        <v>JD 8D</v>
      </c>
      <c r="D239" t="s">
        <v>30</v>
      </c>
      <c r="E239" t="s">
        <v>42</v>
      </c>
      <c r="F239">
        <v>33573149</v>
      </c>
      <c r="G239">
        <v>4212241</v>
      </c>
    </row>
    <row r="240" spans="2:7" x14ac:dyDescent="0.3">
      <c r="B240" t="str">
        <f t="shared" si="6"/>
        <v>J8s</v>
      </c>
      <c r="C240" t="str">
        <f t="shared" si="7"/>
        <v>JH 8H</v>
      </c>
      <c r="D240" t="s">
        <v>31</v>
      </c>
      <c r="E240" t="s">
        <v>43</v>
      </c>
      <c r="F240">
        <v>33564957</v>
      </c>
      <c r="G240">
        <v>4204049</v>
      </c>
    </row>
    <row r="241" spans="2:7" x14ac:dyDescent="0.3">
      <c r="B241" t="str">
        <f t="shared" si="6"/>
        <v>J8s</v>
      </c>
      <c r="C241" t="str">
        <f t="shared" si="7"/>
        <v>JS 8S</v>
      </c>
      <c r="D241" t="s">
        <v>32</v>
      </c>
      <c r="E241" t="s">
        <v>44</v>
      </c>
      <c r="F241">
        <v>33560861</v>
      </c>
      <c r="G241">
        <v>4199953</v>
      </c>
    </row>
    <row r="242" spans="2:7" x14ac:dyDescent="0.3">
      <c r="B242" t="str">
        <f t="shared" si="6"/>
        <v>J7s</v>
      </c>
      <c r="C242" t="str">
        <f t="shared" si="7"/>
        <v>JC 7C</v>
      </c>
      <c r="D242" t="s">
        <v>29</v>
      </c>
      <c r="E242" t="s">
        <v>45</v>
      </c>
      <c r="F242">
        <v>33589533</v>
      </c>
      <c r="G242">
        <v>2131213</v>
      </c>
    </row>
    <row r="243" spans="2:7" x14ac:dyDescent="0.3">
      <c r="B243" t="str">
        <f t="shared" si="6"/>
        <v>J7s</v>
      </c>
      <c r="C243" t="str">
        <f t="shared" si="7"/>
        <v>JD 7D</v>
      </c>
      <c r="D243" t="s">
        <v>30</v>
      </c>
      <c r="E243" t="s">
        <v>46</v>
      </c>
      <c r="F243">
        <v>33573149</v>
      </c>
      <c r="G243">
        <v>2114829</v>
      </c>
    </row>
    <row r="244" spans="2:7" x14ac:dyDescent="0.3">
      <c r="B244" t="str">
        <f t="shared" si="6"/>
        <v>J7s</v>
      </c>
      <c r="C244" t="str">
        <f t="shared" si="7"/>
        <v>JH 7H</v>
      </c>
      <c r="D244" t="s">
        <v>31</v>
      </c>
      <c r="E244" t="s">
        <v>47</v>
      </c>
      <c r="F244">
        <v>33564957</v>
      </c>
      <c r="G244">
        <v>2106637</v>
      </c>
    </row>
    <row r="245" spans="2:7" x14ac:dyDescent="0.3">
      <c r="B245" t="str">
        <f t="shared" si="6"/>
        <v>J7s</v>
      </c>
      <c r="C245" t="str">
        <f t="shared" si="7"/>
        <v>JS 7S</v>
      </c>
      <c r="D245" t="s">
        <v>32</v>
      </c>
      <c r="E245" t="s">
        <v>48</v>
      </c>
      <c r="F245">
        <v>33560861</v>
      </c>
      <c r="G245">
        <v>2102541</v>
      </c>
    </row>
    <row r="246" spans="2:7" x14ac:dyDescent="0.3">
      <c r="B246" t="str">
        <f t="shared" si="6"/>
        <v>J6s</v>
      </c>
      <c r="C246" t="str">
        <f t="shared" si="7"/>
        <v>JC 6C</v>
      </c>
      <c r="D246" t="s">
        <v>29</v>
      </c>
      <c r="E246" t="s">
        <v>49</v>
      </c>
      <c r="F246">
        <v>33589533</v>
      </c>
      <c r="G246">
        <v>1082379</v>
      </c>
    </row>
    <row r="247" spans="2:7" x14ac:dyDescent="0.3">
      <c r="B247" t="str">
        <f t="shared" si="6"/>
        <v>J6s</v>
      </c>
      <c r="C247" t="str">
        <f t="shared" si="7"/>
        <v>JD 6D</v>
      </c>
      <c r="D247" t="s">
        <v>30</v>
      </c>
      <c r="E247" t="s">
        <v>50</v>
      </c>
      <c r="F247">
        <v>33573149</v>
      </c>
      <c r="G247">
        <v>1065995</v>
      </c>
    </row>
    <row r="248" spans="2:7" x14ac:dyDescent="0.3">
      <c r="B248" t="str">
        <f t="shared" si="6"/>
        <v>J6s</v>
      </c>
      <c r="C248" t="str">
        <f t="shared" si="7"/>
        <v>JH 6H</v>
      </c>
      <c r="D248" t="s">
        <v>31</v>
      </c>
      <c r="E248" t="s">
        <v>51</v>
      </c>
      <c r="F248">
        <v>33564957</v>
      </c>
      <c r="G248">
        <v>1057803</v>
      </c>
    </row>
    <row r="249" spans="2:7" x14ac:dyDescent="0.3">
      <c r="B249" t="str">
        <f t="shared" si="6"/>
        <v>J6s</v>
      </c>
      <c r="C249" t="str">
        <f t="shared" si="7"/>
        <v>JS 6S</v>
      </c>
      <c r="D249" t="s">
        <v>32</v>
      </c>
      <c r="E249" t="s">
        <v>52</v>
      </c>
      <c r="F249">
        <v>33560861</v>
      </c>
      <c r="G249">
        <v>1053707</v>
      </c>
    </row>
    <row r="250" spans="2:7" x14ac:dyDescent="0.3">
      <c r="B250" t="str">
        <f t="shared" si="6"/>
        <v>J5s</v>
      </c>
      <c r="C250" t="str">
        <f t="shared" si="7"/>
        <v>JC 5C</v>
      </c>
      <c r="D250" t="s">
        <v>29</v>
      </c>
      <c r="E250" t="s">
        <v>53</v>
      </c>
      <c r="F250">
        <v>33589533</v>
      </c>
      <c r="G250">
        <v>557831</v>
      </c>
    </row>
    <row r="251" spans="2:7" x14ac:dyDescent="0.3">
      <c r="B251" t="str">
        <f t="shared" si="6"/>
        <v>J5s</v>
      </c>
      <c r="C251" t="str">
        <f t="shared" si="7"/>
        <v>JD 5D</v>
      </c>
      <c r="D251" t="s">
        <v>30</v>
      </c>
      <c r="E251" t="s">
        <v>54</v>
      </c>
      <c r="F251">
        <v>33573149</v>
      </c>
      <c r="G251">
        <v>541447</v>
      </c>
    </row>
    <row r="252" spans="2:7" x14ac:dyDescent="0.3">
      <c r="B252" t="str">
        <f t="shared" si="6"/>
        <v>J5s</v>
      </c>
      <c r="C252" t="str">
        <f t="shared" si="7"/>
        <v>JH 5H</v>
      </c>
      <c r="D252" t="s">
        <v>31</v>
      </c>
      <c r="E252" t="s">
        <v>55</v>
      </c>
      <c r="F252">
        <v>33564957</v>
      </c>
      <c r="G252">
        <v>533255</v>
      </c>
    </row>
    <row r="253" spans="2:7" x14ac:dyDescent="0.3">
      <c r="B253" t="str">
        <f t="shared" si="6"/>
        <v>J5s</v>
      </c>
      <c r="C253" t="str">
        <f t="shared" si="7"/>
        <v>JS 5S</v>
      </c>
      <c r="D253" t="s">
        <v>32</v>
      </c>
      <c r="E253" t="s">
        <v>56</v>
      </c>
      <c r="F253">
        <v>33560861</v>
      </c>
      <c r="G253">
        <v>529159</v>
      </c>
    </row>
    <row r="254" spans="2:7" x14ac:dyDescent="0.3">
      <c r="B254" t="str">
        <f t="shared" si="6"/>
        <v>J4s</v>
      </c>
      <c r="C254" t="str">
        <f t="shared" si="7"/>
        <v>JC 4C</v>
      </c>
      <c r="D254" t="s">
        <v>29</v>
      </c>
      <c r="E254" t="s">
        <v>57</v>
      </c>
      <c r="F254">
        <v>33589533</v>
      </c>
      <c r="G254">
        <v>295429</v>
      </c>
    </row>
    <row r="255" spans="2:7" x14ac:dyDescent="0.3">
      <c r="B255" t="str">
        <f t="shared" si="6"/>
        <v>J4s</v>
      </c>
      <c r="C255" t="str">
        <f t="shared" si="7"/>
        <v>JD 4D</v>
      </c>
      <c r="D255" t="s">
        <v>30</v>
      </c>
      <c r="E255" t="s">
        <v>58</v>
      </c>
      <c r="F255">
        <v>33573149</v>
      </c>
      <c r="G255">
        <v>279045</v>
      </c>
    </row>
    <row r="256" spans="2:7" x14ac:dyDescent="0.3">
      <c r="B256" t="str">
        <f t="shared" si="6"/>
        <v>J4s</v>
      </c>
      <c r="C256" t="str">
        <f t="shared" si="7"/>
        <v>JH 4H</v>
      </c>
      <c r="D256" t="s">
        <v>31</v>
      </c>
      <c r="E256" t="s">
        <v>59</v>
      </c>
      <c r="F256">
        <v>33564957</v>
      </c>
      <c r="G256">
        <v>270853</v>
      </c>
    </row>
    <row r="257" spans="2:7" x14ac:dyDescent="0.3">
      <c r="B257" t="str">
        <f t="shared" si="6"/>
        <v>J4s</v>
      </c>
      <c r="C257" t="str">
        <f t="shared" si="7"/>
        <v>JS 4S</v>
      </c>
      <c r="D257" t="s">
        <v>32</v>
      </c>
      <c r="E257" t="s">
        <v>60</v>
      </c>
      <c r="F257">
        <v>33560861</v>
      </c>
      <c r="G257">
        <v>266757</v>
      </c>
    </row>
    <row r="258" spans="2:7" x14ac:dyDescent="0.3">
      <c r="B258" t="str">
        <f t="shared" si="6"/>
        <v>J3s</v>
      </c>
      <c r="C258" t="str">
        <f t="shared" si="7"/>
        <v>JC 3C</v>
      </c>
      <c r="D258" t="s">
        <v>29</v>
      </c>
      <c r="E258" t="s">
        <v>61</v>
      </c>
      <c r="F258">
        <v>33589533</v>
      </c>
      <c r="G258">
        <v>164099</v>
      </c>
    </row>
    <row r="259" spans="2:7" x14ac:dyDescent="0.3">
      <c r="B259" t="str">
        <f t="shared" ref="B259:B322" si="8">LEFT(D259,1)&amp;LEFT(E259,1)&amp;IF(LEFT(D259,1)=LEFT(E259,1), "", IF(RIGHT(D259,1)=RIGHT(E259,1), "s", "o"))</f>
        <v>J3s</v>
      </c>
      <c r="C259" t="str">
        <f t="shared" ref="C259:C322" si="9">UPPER(D259&amp;" "&amp;E259)</f>
        <v>JD 3D</v>
      </c>
      <c r="D259" t="s">
        <v>30</v>
      </c>
      <c r="E259" t="s">
        <v>62</v>
      </c>
      <c r="F259">
        <v>33573149</v>
      </c>
      <c r="G259">
        <v>147715</v>
      </c>
    </row>
    <row r="260" spans="2:7" x14ac:dyDescent="0.3">
      <c r="B260" t="str">
        <f t="shared" si="8"/>
        <v>J3s</v>
      </c>
      <c r="C260" t="str">
        <f t="shared" si="9"/>
        <v>JH 3H</v>
      </c>
      <c r="D260" t="s">
        <v>31</v>
      </c>
      <c r="E260" t="s">
        <v>63</v>
      </c>
      <c r="F260">
        <v>33564957</v>
      </c>
      <c r="G260">
        <v>139523</v>
      </c>
    </row>
    <row r="261" spans="2:7" x14ac:dyDescent="0.3">
      <c r="B261" t="str">
        <f t="shared" si="8"/>
        <v>J3s</v>
      </c>
      <c r="C261" t="str">
        <f t="shared" si="9"/>
        <v>JS 3S</v>
      </c>
      <c r="D261" t="s">
        <v>32</v>
      </c>
      <c r="E261" t="s">
        <v>64</v>
      </c>
      <c r="F261">
        <v>33560861</v>
      </c>
      <c r="G261">
        <v>135427</v>
      </c>
    </row>
    <row r="262" spans="2:7" x14ac:dyDescent="0.3">
      <c r="B262" t="str">
        <f t="shared" si="8"/>
        <v>J2s</v>
      </c>
      <c r="C262" t="str">
        <f t="shared" si="9"/>
        <v>JC 2C</v>
      </c>
      <c r="D262" t="s">
        <v>29</v>
      </c>
      <c r="E262" t="s">
        <v>65</v>
      </c>
      <c r="F262">
        <v>33589533</v>
      </c>
      <c r="G262">
        <v>98306</v>
      </c>
    </row>
    <row r="263" spans="2:7" x14ac:dyDescent="0.3">
      <c r="B263" t="str">
        <f t="shared" si="8"/>
        <v>J2s</v>
      </c>
      <c r="C263" t="str">
        <f t="shared" si="9"/>
        <v>JD 2D</v>
      </c>
      <c r="D263" t="s">
        <v>30</v>
      </c>
      <c r="E263" t="s">
        <v>66</v>
      </c>
      <c r="F263">
        <v>33573149</v>
      </c>
      <c r="G263">
        <v>81922</v>
      </c>
    </row>
    <row r="264" spans="2:7" x14ac:dyDescent="0.3">
      <c r="B264" t="str">
        <f t="shared" si="8"/>
        <v>J2s</v>
      </c>
      <c r="C264" t="str">
        <f t="shared" si="9"/>
        <v>JH 2H</v>
      </c>
      <c r="D264" t="s">
        <v>31</v>
      </c>
      <c r="E264" t="s">
        <v>67</v>
      </c>
      <c r="F264">
        <v>33564957</v>
      </c>
      <c r="G264">
        <v>73730</v>
      </c>
    </row>
    <row r="265" spans="2:7" x14ac:dyDescent="0.3">
      <c r="B265" t="str">
        <f t="shared" si="8"/>
        <v>J2s</v>
      </c>
      <c r="C265" t="str">
        <f t="shared" si="9"/>
        <v>JS 2S</v>
      </c>
      <c r="D265" t="s">
        <v>32</v>
      </c>
      <c r="E265" t="s">
        <v>68</v>
      </c>
      <c r="F265">
        <v>33560861</v>
      </c>
      <c r="G265">
        <v>69634</v>
      </c>
    </row>
    <row r="266" spans="2:7" x14ac:dyDescent="0.3">
      <c r="B266" t="str">
        <f t="shared" si="8"/>
        <v>ATo</v>
      </c>
      <c r="C266" t="str">
        <f t="shared" si="9"/>
        <v>AC TD</v>
      </c>
      <c r="D266" t="s">
        <v>17</v>
      </c>
      <c r="E266" t="s">
        <v>34</v>
      </c>
      <c r="F266">
        <v>268471337</v>
      </c>
      <c r="G266">
        <v>16795671</v>
      </c>
    </row>
    <row r="267" spans="2:7" x14ac:dyDescent="0.3">
      <c r="B267" t="str">
        <f t="shared" si="8"/>
        <v>ATo</v>
      </c>
      <c r="C267" t="str">
        <f t="shared" si="9"/>
        <v>AC TH</v>
      </c>
      <c r="D267" t="s">
        <v>17</v>
      </c>
      <c r="E267" t="s">
        <v>35</v>
      </c>
      <c r="F267">
        <v>268471337</v>
      </c>
      <c r="G267">
        <v>16787479</v>
      </c>
    </row>
    <row r="268" spans="2:7" x14ac:dyDescent="0.3">
      <c r="B268" t="str">
        <f t="shared" si="8"/>
        <v>ATo</v>
      </c>
      <c r="C268" t="str">
        <f t="shared" si="9"/>
        <v>AC TS</v>
      </c>
      <c r="D268" t="s">
        <v>17</v>
      </c>
      <c r="E268" t="s">
        <v>36</v>
      </c>
      <c r="F268">
        <v>268471337</v>
      </c>
      <c r="G268">
        <v>16783383</v>
      </c>
    </row>
    <row r="269" spans="2:7" x14ac:dyDescent="0.3">
      <c r="B269" t="str">
        <f t="shared" si="8"/>
        <v>ATo</v>
      </c>
      <c r="C269" t="str">
        <f t="shared" si="9"/>
        <v>AD TC</v>
      </c>
      <c r="D269" t="s">
        <v>18</v>
      </c>
      <c r="E269" t="s">
        <v>33</v>
      </c>
      <c r="F269">
        <v>268454953</v>
      </c>
      <c r="G269">
        <v>16812055</v>
      </c>
    </row>
    <row r="270" spans="2:7" x14ac:dyDescent="0.3">
      <c r="B270" t="str">
        <f t="shared" si="8"/>
        <v>ATo</v>
      </c>
      <c r="C270" t="str">
        <f t="shared" si="9"/>
        <v>AD TH</v>
      </c>
      <c r="D270" t="s">
        <v>18</v>
      </c>
      <c r="E270" t="s">
        <v>35</v>
      </c>
      <c r="F270">
        <v>268454953</v>
      </c>
      <c r="G270">
        <v>16787479</v>
      </c>
    </row>
    <row r="271" spans="2:7" x14ac:dyDescent="0.3">
      <c r="B271" t="str">
        <f t="shared" si="8"/>
        <v>ATo</v>
      </c>
      <c r="C271" t="str">
        <f t="shared" si="9"/>
        <v>AD TS</v>
      </c>
      <c r="D271" t="s">
        <v>18</v>
      </c>
      <c r="E271" t="s">
        <v>36</v>
      </c>
      <c r="F271">
        <v>268454953</v>
      </c>
      <c r="G271">
        <v>16783383</v>
      </c>
    </row>
    <row r="272" spans="2:7" x14ac:dyDescent="0.3">
      <c r="B272" t="str">
        <f t="shared" si="8"/>
        <v>ATo</v>
      </c>
      <c r="C272" t="str">
        <f t="shared" si="9"/>
        <v>AH TC</v>
      </c>
      <c r="D272" t="s">
        <v>19</v>
      </c>
      <c r="E272" t="s">
        <v>33</v>
      </c>
      <c r="F272">
        <v>268446761</v>
      </c>
      <c r="G272">
        <v>16812055</v>
      </c>
    </row>
    <row r="273" spans="2:7" x14ac:dyDescent="0.3">
      <c r="B273" t="str">
        <f t="shared" si="8"/>
        <v>ATo</v>
      </c>
      <c r="C273" t="str">
        <f t="shared" si="9"/>
        <v>AH TD</v>
      </c>
      <c r="D273" t="s">
        <v>19</v>
      </c>
      <c r="E273" t="s">
        <v>34</v>
      </c>
      <c r="F273">
        <v>268446761</v>
      </c>
      <c r="G273">
        <v>16795671</v>
      </c>
    </row>
    <row r="274" spans="2:7" x14ac:dyDescent="0.3">
      <c r="B274" t="str">
        <f t="shared" si="8"/>
        <v>ATo</v>
      </c>
      <c r="C274" t="str">
        <f t="shared" si="9"/>
        <v>AH TS</v>
      </c>
      <c r="D274" t="s">
        <v>19</v>
      </c>
      <c r="E274" t="s">
        <v>36</v>
      </c>
      <c r="F274">
        <v>268446761</v>
      </c>
      <c r="G274">
        <v>16783383</v>
      </c>
    </row>
    <row r="275" spans="2:7" x14ac:dyDescent="0.3">
      <c r="B275" t="str">
        <f t="shared" si="8"/>
        <v>ATo</v>
      </c>
      <c r="C275" t="str">
        <f t="shared" si="9"/>
        <v>AS TC</v>
      </c>
      <c r="D275" t="s">
        <v>20</v>
      </c>
      <c r="E275" t="s">
        <v>33</v>
      </c>
      <c r="F275">
        <v>268442665</v>
      </c>
      <c r="G275">
        <v>16812055</v>
      </c>
    </row>
    <row r="276" spans="2:7" x14ac:dyDescent="0.3">
      <c r="B276" t="str">
        <f t="shared" si="8"/>
        <v>ATo</v>
      </c>
      <c r="C276" t="str">
        <f t="shared" si="9"/>
        <v>AS TD</v>
      </c>
      <c r="D276" t="s">
        <v>20</v>
      </c>
      <c r="E276" t="s">
        <v>34</v>
      </c>
      <c r="F276">
        <v>268442665</v>
      </c>
      <c r="G276">
        <v>16795671</v>
      </c>
    </row>
    <row r="277" spans="2:7" x14ac:dyDescent="0.3">
      <c r="B277" t="str">
        <f t="shared" si="8"/>
        <v>ATo</v>
      </c>
      <c r="C277" t="str">
        <f t="shared" si="9"/>
        <v>AS TH</v>
      </c>
      <c r="D277" t="s">
        <v>20</v>
      </c>
      <c r="E277" t="s">
        <v>35</v>
      </c>
      <c r="F277">
        <v>268442665</v>
      </c>
      <c r="G277">
        <v>16787479</v>
      </c>
    </row>
    <row r="278" spans="2:7" x14ac:dyDescent="0.3">
      <c r="B278" t="str">
        <f t="shared" si="8"/>
        <v>KTo</v>
      </c>
      <c r="C278" t="str">
        <f t="shared" si="9"/>
        <v>KC TD</v>
      </c>
      <c r="D278" t="s">
        <v>21</v>
      </c>
      <c r="E278" t="s">
        <v>34</v>
      </c>
      <c r="F278">
        <v>134253349</v>
      </c>
      <c r="G278">
        <v>16795671</v>
      </c>
    </row>
    <row r="279" spans="2:7" x14ac:dyDescent="0.3">
      <c r="B279" t="str">
        <f t="shared" si="8"/>
        <v>KTo</v>
      </c>
      <c r="C279" t="str">
        <f t="shared" si="9"/>
        <v>KC TH</v>
      </c>
      <c r="D279" t="s">
        <v>21</v>
      </c>
      <c r="E279" t="s">
        <v>35</v>
      </c>
      <c r="F279">
        <v>134253349</v>
      </c>
      <c r="G279">
        <v>16787479</v>
      </c>
    </row>
    <row r="280" spans="2:7" x14ac:dyDescent="0.3">
      <c r="B280" t="str">
        <f t="shared" si="8"/>
        <v>KTo</v>
      </c>
      <c r="C280" t="str">
        <f t="shared" si="9"/>
        <v>KC TS</v>
      </c>
      <c r="D280" t="s">
        <v>21</v>
      </c>
      <c r="E280" t="s">
        <v>36</v>
      </c>
      <c r="F280">
        <v>134253349</v>
      </c>
      <c r="G280">
        <v>16783383</v>
      </c>
    </row>
    <row r="281" spans="2:7" x14ac:dyDescent="0.3">
      <c r="B281" t="str">
        <f t="shared" si="8"/>
        <v>KTo</v>
      </c>
      <c r="C281" t="str">
        <f t="shared" si="9"/>
        <v>KD TC</v>
      </c>
      <c r="D281" t="s">
        <v>22</v>
      </c>
      <c r="E281" t="s">
        <v>33</v>
      </c>
      <c r="F281">
        <v>134236965</v>
      </c>
      <c r="G281">
        <v>16812055</v>
      </c>
    </row>
    <row r="282" spans="2:7" x14ac:dyDescent="0.3">
      <c r="B282" t="str">
        <f t="shared" si="8"/>
        <v>KTo</v>
      </c>
      <c r="C282" t="str">
        <f t="shared" si="9"/>
        <v>KD TH</v>
      </c>
      <c r="D282" t="s">
        <v>22</v>
      </c>
      <c r="E282" t="s">
        <v>35</v>
      </c>
      <c r="F282">
        <v>134236965</v>
      </c>
      <c r="G282">
        <v>16787479</v>
      </c>
    </row>
    <row r="283" spans="2:7" x14ac:dyDescent="0.3">
      <c r="B283" t="str">
        <f t="shared" si="8"/>
        <v>KTo</v>
      </c>
      <c r="C283" t="str">
        <f t="shared" si="9"/>
        <v>KD TS</v>
      </c>
      <c r="D283" t="s">
        <v>22</v>
      </c>
      <c r="E283" t="s">
        <v>36</v>
      </c>
      <c r="F283">
        <v>134236965</v>
      </c>
      <c r="G283">
        <v>16783383</v>
      </c>
    </row>
    <row r="284" spans="2:7" x14ac:dyDescent="0.3">
      <c r="B284" t="str">
        <f t="shared" si="8"/>
        <v>KTo</v>
      </c>
      <c r="C284" t="str">
        <f t="shared" si="9"/>
        <v>KH TC</v>
      </c>
      <c r="D284" t="s">
        <v>23</v>
      </c>
      <c r="E284" t="s">
        <v>33</v>
      </c>
      <c r="F284">
        <v>134228773</v>
      </c>
      <c r="G284">
        <v>16812055</v>
      </c>
    </row>
    <row r="285" spans="2:7" x14ac:dyDescent="0.3">
      <c r="B285" t="str">
        <f t="shared" si="8"/>
        <v>KTo</v>
      </c>
      <c r="C285" t="str">
        <f t="shared" si="9"/>
        <v>KH TD</v>
      </c>
      <c r="D285" t="s">
        <v>23</v>
      </c>
      <c r="E285" t="s">
        <v>34</v>
      </c>
      <c r="F285">
        <v>134228773</v>
      </c>
      <c r="G285">
        <v>16795671</v>
      </c>
    </row>
    <row r="286" spans="2:7" x14ac:dyDescent="0.3">
      <c r="B286" t="str">
        <f t="shared" si="8"/>
        <v>KTo</v>
      </c>
      <c r="C286" t="str">
        <f t="shared" si="9"/>
        <v>KH TS</v>
      </c>
      <c r="D286" t="s">
        <v>23</v>
      </c>
      <c r="E286" t="s">
        <v>36</v>
      </c>
      <c r="F286">
        <v>134228773</v>
      </c>
      <c r="G286">
        <v>16783383</v>
      </c>
    </row>
    <row r="287" spans="2:7" x14ac:dyDescent="0.3">
      <c r="B287" t="str">
        <f t="shared" si="8"/>
        <v>KTo</v>
      </c>
      <c r="C287" t="str">
        <f t="shared" si="9"/>
        <v>KS TC</v>
      </c>
      <c r="D287" t="s">
        <v>24</v>
      </c>
      <c r="E287" t="s">
        <v>33</v>
      </c>
      <c r="F287">
        <v>134224677</v>
      </c>
      <c r="G287">
        <v>16812055</v>
      </c>
    </row>
    <row r="288" spans="2:7" x14ac:dyDescent="0.3">
      <c r="B288" t="str">
        <f t="shared" si="8"/>
        <v>KTo</v>
      </c>
      <c r="C288" t="str">
        <f t="shared" si="9"/>
        <v>KS TD</v>
      </c>
      <c r="D288" t="s">
        <v>24</v>
      </c>
      <c r="E288" t="s">
        <v>34</v>
      </c>
      <c r="F288">
        <v>134224677</v>
      </c>
      <c r="G288">
        <v>16795671</v>
      </c>
    </row>
    <row r="289" spans="2:7" x14ac:dyDescent="0.3">
      <c r="B289" t="str">
        <f t="shared" si="8"/>
        <v>KTo</v>
      </c>
      <c r="C289" t="str">
        <f t="shared" si="9"/>
        <v>KS TH</v>
      </c>
      <c r="D289" t="s">
        <v>24</v>
      </c>
      <c r="E289" t="s">
        <v>35</v>
      </c>
      <c r="F289">
        <v>134224677</v>
      </c>
      <c r="G289">
        <v>16787479</v>
      </c>
    </row>
    <row r="290" spans="2:7" x14ac:dyDescent="0.3">
      <c r="B290" t="str">
        <f t="shared" si="8"/>
        <v>QTo</v>
      </c>
      <c r="C290" t="str">
        <f t="shared" si="9"/>
        <v>QC TD</v>
      </c>
      <c r="D290" t="s">
        <v>25</v>
      </c>
      <c r="E290" t="s">
        <v>34</v>
      </c>
      <c r="F290">
        <v>67144223</v>
      </c>
      <c r="G290">
        <v>16795671</v>
      </c>
    </row>
    <row r="291" spans="2:7" x14ac:dyDescent="0.3">
      <c r="B291" t="str">
        <f t="shared" si="8"/>
        <v>QTo</v>
      </c>
      <c r="C291" t="str">
        <f t="shared" si="9"/>
        <v>QC TH</v>
      </c>
      <c r="D291" t="s">
        <v>25</v>
      </c>
      <c r="E291" t="s">
        <v>35</v>
      </c>
      <c r="F291">
        <v>67144223</v>
      </c>
      <c r="G291">
        <v>16787479</v>
      </c>
    </row>
    <row r="292" spans="2:7" x14ac:dyDescent="0.3">
      <c r="B292" t="str">
        <f t="shared" si="8"/>
        <v>QTo</v>
      </c>
      <c r="C292" t="str">
        <f t="shared" si="9"/>
        <v>QC TS</v>
      </c>
      <c r="D292" t="s">
        <v>25</v>
      </c>
      <c r="E292" t="s">
        <v>36</v>
      </c>
      <c r="F292">
        <v>67144223</v>
      </c>
      <c r="G292">
        <v>16783383</v>
      </c>
    </row>
    <row r="293" spans="2:7" x14ac:dyDescent="0.3">
      <c r="B293" t="str">
        <f t="shared" si="8"/>
        <v>QTo</v>
      </c>
      <c r="C293" t="str">
        <f t="shared" si="9"/>
        <v>QD TC</v>
      </c>
      <c r="D293" t="s">
        <v>26</v>
      </c>
      <c r="E293" t="s">
        <v>33</v>
      </c>
      <c r="F293">
        <v>67127839</v>
      </c>
      <c r="G293">
        <v>16812055</v>
      </c>
    </row>
    <row r="294" spans="2:7" x14ac:dyDescent="0.3">
      <c r="B294" t="str">
        <f t="shared" si="8"/>
        <v>QTo</v>
      </c>
      <c r="C294" t="str">
        <f t="shared" si="9"/>
        <v>QD TH</v>
      </c>
      <c r="D294" t="s">
        <v>26</v>
      </c>
      <c r="E294" t="s">
        <v>35</v>
      </c>
      <c r="F294">
        <v>67127839</v>
      </c>
      <c r="G294">
        <v>16787479</v>
      </c>
    </row>
    <row r="295" spans="2:7" x14ac:dyDescent="0.3">
      <c r="B295" t="str">
        <f t="shared" si="8"/>
        <v>QTo</v>
      </c>
      <c r="C295" t="str">
        <f t="shared" si="9"/>
        <v>QD TS</v>
      </c>
      <c r="D295" t="s">
        <v>26</v>
      </c>
      <c r="E295" t="s">
        <v>36</v>
      </c>
      <c r="F295">
        <v>67127839</v>
      </c>
      <c r="G295">
        <v>16783383</v>
      </c>
    </row>
    <row r="296" spans="2:7" x14ac:dyDescent="0.3">
      <c r="B296" t="str">
        <f t="shared" si="8"/>
        <v>QTo</v>
      </c>
      <c r="C296" t="str">
        <f t="shared" si="9"/>
        <v>QH TC</v>
      </c>
      <c r="D296" t="s">
        <v>27</v>
      </c>
      <c r="E296" t="s">
        <v>33</v>
      </c>
      <c r="F296">
        <v>67119647</v>
      </c>
      <c r="G296">
        <v>16812055</v>
      </c>
    </row>
    <row r="297" spans="2:7" x14ac:dyDescent="0.3">
      <c r="B297" t="str">
        <f t="shared" si="8"/>
        <v>QTo</v>
      </c>
      <c r="C297" t="str">
        <f t="shared" si="9"/>
        <v>QH TD</v>
      </c>
      <c r="D297" t="s">
        <v>27</v>
      </c>
      <c r="E297" t="s">
        <v>34</v>
      </c>
      <c r="F297">
        <v>67119647</v>
      </c>
      <c r="G297">
        <v>16795671</v>
      </c>
    </row>
    <row r="298" spans="2:7" x14ac:dyDescent="0.3">
      <c r="B298" t="str">
        <f t="shared" si="8"/>
        <v>QTo</v>
      </c>
      <c r="C298" t="str">
        <f t="shared" si="9"/>
        <v>QH TS</v>
      </c>
      <c r="D298" t="s">
        <v>27</v>
      </c>
      <c r="E298" t="s">
        <v>36</v>
      </c>
      <c r="F298">
        <v>67119647</v>
      </c>
      <c r="G298">
        <v>16783383</v>
      </c>
    </row>
    <row r="299" spans="2:7" x14ac:dyDescent="0.3">
      <c r="B299" t="str">
        <f t="shared" si="8"/>
        <v>QTo</v>
      </c>
      <c r="C299" t="str">
        <f t="shared" si="9"/>
        <v>QS TC</v>
      </c>
      <c r="D299" t="s">
        <v>28</v>
      </c>
      <c r="E299" t="s">
        <v>33</v>
      </c>
      <c r="F299">
        <v>67115551</v>
      </c>
      <c r="G299">
        <v>16812055</v>
      </c>
    </row>
    <row r="300" spans="2:7" x14ac:dyDescent="0.3">
      <c r="B300" t="str">
        <f t="shared" si="8"/>
        <v>QTo</v>
      </c>
      <c r="C300" t="str">
        <f t="shared" si="9"/>
        <v>QS TD</v>
      </c>
      <c r="D300" t="s">
        <v>28</v>
      </c>
      <c r="E300" t="s">
        <v>34</v>
      </c>
      <c r="F300">
        <v>67115551</v>
      </c>
      <c r="G300">
        <v>16795671</v>
      </c>
    </row>
    <row r="301" spans="2:7" x14ac:dyDescent="0.3">
      <c r="B301" t="str">
        <f t="shared" si="8"/>
        <v>QTo</v>
      </c>
      <c r="C301" t="str">
        <f t="shared" si="9"/>
        <v>QS TH</v>
      </c>
      <c r="D301" t="s">
        <v>28</v>
      </c>
      <c r="E301" t="s">
        <v>35</v>
      </c>
      <c r="F301">
        <v>67115551</v>
      </c>
      <c r="G301">
        <v>16787479</v>
      </c>
    </row>
    <row r="302" spans="2:7" x14ac:dyDescent="0.3">
      <c r="B302" t="str">
        <f t="shared" si="8"/>
        <v>JTo</v>
      </c>
      <c r="C302" t="str">
        <f t="shared" si="9"/>
        <v>JC TD</v>
      </c>
      <c r="D302" t="s">
        <v>29</v>
      </c>
      <c r="E302" t="s">
        <v>34</v>
      </c>
      <c r="F302">
        <v>33589533</v>
      </c>
      <c r="G302">
        <v>16795671</v>
      </c>
    </row>
    <row r="303" spans="2:7" x14ac:dyDescent="0.3">
      <c r="B303" t="str">
        <f t="shared" si="8"/>
        <v>JTo</v>
      </c>
      <c r="C303" t="str">
        <f t="shared" si="9"/>
        <v>JC TH</v>
      </c>
      <c r="D303" t="s">
        <v>29</v>
      </c>
      <c r="E303" t="s">
        <v>35</v>
      </c>
      <c r="F303">
        <v>33589533</v>
      </c>
      <c r="G303">
        <v>16787479</v>
      </c>
    </row>
    <row r="304" spans="2:7" x14ac:dyDescent="0.3">
      <c r="B304" t="str">
        <f t="shared" si="8"/>
        <v>JTo</v>
      </c>
      <c r="C304" t="str">
        <f t="shared" si="9"/>
        <v>JC TS</v>
      </c>
      <c r="D304" t="s">
        <v>29</v>
      </c>
      <c r="E304" t="s">
        <v>36</v>
      </c>
      <c r="F304">
        <v>33589533</v>
      </c>
      <c r="G304">
        <v>16783383</v>
      </c>
    </row>
    <row r="305" spans="2:7" x14ac:dyDescent="0.3">
      <c r="B305" t="str">
        <f t="shared" si="8"/>
        <v>JTo</v>
      </c>
      <c r="C305" t="str">
        <f t="shared" si="9"/>
        <v>JD TC</v>
      </c>
      <c r="D305" t="s">
        <v>30</v>
      </c>
      <c r="E305" t="s">
        <v>33</v>
      </c>
      <c r="F305">
        <v>33573149</v>
      </c>
      <c r="G305">
        <v>16812055</v>
      </c>
    </row>
    <row r="306" spans="2:7" x14ac:dyDescent="0.3">
      <c r="B306" t="str">
        <f t="shared" si="8"/>
        <v>JTo</v>
      </c>
      <c r="C306" t="str">
        <f t="shared" si="9"/>
        <v>JD TH</v>
      </c>
      <c r="D306" t="s">
        <v>30</v>
      </c>
      <c r="E306" t="s">
        <v>35</v>
      </c>
      <c r="F306">
        <v>33573149</v>
      </c>
      <c r="G306">
        <v>16787479</v>
      </c>
    </row>
    <row r="307" spans="2:7" x14ac:dyDescent="0.3">
      <c r="B307" t="str">
        <f t="shared" si="8"/>
        <v>JTo</v>
      </c>
      <c r="C307" t="str">
        <f t="shared" si="9"/>
        <v>JD TS</v>
      </c>
      <c r="D307" t="s">
        <v>30</v>
      </c>
      <c r="E307" t="s">
        <v>36</v>
      </c>
      <c r="F307">
        <v>33573149</v>
      </c>
      <c r="G307">
        <v>16783383</v>
      </c>
    </row>
    <row r="308" spans="2:7" x14ac:dyDescent="0.3">
      <c r="B308" t="str">
        <f t="shared" si="8"/>
        <v>JTo</v>
      </c>
      <c r="C308" t="str">
        <f t="shared" si="9"/>
        <v>JH TC</v>
      </c>
      <c r="D308" t="s">
        <v>31</v>
      </c>
      <c r="E308" t="s">
        <v>33</v>
      </c>
      <c r="F308">
        <v>33564957</v>
      </c>
      <c r="G308">
        <v>16812055</v>
      </c>
    </row>
    <row r="309" spans="2:7" x14ac:dyDescent="0.3">
      <c r="B309" t="str">
        <f t="shared" si="8"/>
        <v>JTo</v>
      </c>
      <c r="C309" t="str">
        <f t="shared" si="9"/>
        <v>JH TD</v>
      </c>
      <c r="D309" t="s">
        <v>31</v>
      </c>
      <c r="E309" t="s">
        <v>34</v>
      </c>
      <c r="F309">
        <v>33564957</v>
      </c>
      <c r="G309">
        <v>16795671</v>
      </c>
    </row>
    <row r="310" spans="2:7" x14ac:dyDescent="0.3">
      <c r="B310" t="str">
        <f t="shared" si="8"/>
        <v>JTo</v>
      </c>
      <c r="C310" t="str">
        <f t="shared" si="9"/>
        <v>JH TS</v>
      </c>
      <c r="D310" t="s">
        <v>31</v>
      </c>
      <c r="E310" t="s">
        <v>36</v>
      </c>
      <c r="F310">
        <v>33564957</v>
      </c>
      <c r="G310">
        <v>16783383</v>
      </c>
    </row>
    <row r="311" spans="2:7" x14ac:dyDescent="0.3">
      <c r="B311" t="str">
        <f t="shared" si="8"/>
        <v>JTo</v>
      </c>
      <c r="C311" t="str">
        <f t="shared" si="9"/>
        <v>JS TC</v>
      </c>
      <c r="D311" t="s">
        <v>32</v>
      </c>
      <c r="E311" t="s">
        <v>33</v>
      </c>
      <c r="F311">
        <v>33560861</v>
      </c>
      <c r="G311">
        <v>16812055</v>
      </c>
    </row>
    <row r="312" spans="2:7" x14ac:dyDescent="0.3">
      <c r="B312" t="str">
        <f t="shared" si="8"/>
        <v>JTo</v>
      </c>
      <c r="C312" t="str">
        <f t="shared" si="9"/>
        <v>JS TD</v>
      </c>
      <c r="D312" t="s">
        <v>32</v>
      </c>
      <c r="E312" t="s">
        <v>34</v>
      </c>
      <c r="F312">
        <v>33560861</v>
      </c>
      <c r="G312">
        <v>16795671</v>
      </c>
    </row>
    <row r="313" spans="2:7" x14ac:dyDescent="0.3">
      <c r="B313" t="str">
        <f t="shared" si="8"/>
        <v>JTo</v>
      </c>
      <c r="C313" t="str">
        <f t="shared" si="9"/>
        <v>JS TH</v>
      </c>
      <c r="D313" t="s">
        <v>32</v>
      </c>
      <c r="E313" t="s">
        <v>35</v>
      </c>
      <c r="F313">
        <v>33560861</v>
      </c>
      <c r="G313">
        <v>16787479</v>
      </c>
    </row>
    <row r="314" spans="2:7" x14ac:dyDescent="0.3">
      <c r="B314" t="str">
        <f t="shared" si="8"/>
        <v>TT</v>
      </c>
      <c r="C314" t="str">
        <f t="shared" si="9"/>
        <v>TC TD</v>
      </c>
      <c r="D314" t="s">
        <v>33</v>
      </c>
      <c r="E314" t="s">
        <v>34</v>
      </c>
      <c r="F314">
        <v>16812055</v>
      </c>
      <c r="G314">
        <v>16795671</v>
      </c>
    </row>
    <row r="315" spans="2:7" x14ac:dyDescent="0.3">
      <c r="B315" t="str">
        <f t="shared" si="8"/>
        <v>TT</v>
      </c>
      <c r="C315" t="str">
        <f t="shared" si="9"/>
        <v>TC TH</v>
      </c>
      <c r="D315" t="s">
        <v>33</v>
      </c>
      <c r="E315" t="s">
        <v>35</v>
      </c>
      <c r="F315">
        <v>16812055</v>
      </c>
      <c r="G315">
        <v>16787479</v>
      </c>
    </row>
    <row r="316" spans="2:7" x14ac:dyDescent="0.3">
      <c r="B316" t="str">
        <f t="shared" si="8"/>
        <v>TT</v>
      </c>
      <c r="C316" t="str">
        <f t="shared" si="9"/>
        <v>TC TS</v>
      </c>
      <c r="D316" t="s">
        <v>33</v>
      </c>
      <c r="E316" t="s">
        <v>36</v>
      </c>
      <c r="F316">
        <v>16812055</v>
      </c>
      <c r="G316">
        <v>16783383</v>
      </c>
    </row>
    <row r="317" spans="2:7" x14ac:dyDescent="0.3">
      <c r="B317" t="str">
        <f t="shared" si="8"/>
        <v>TT</v>
      </c>
      <c r="C317" t="str">
        <f t="shared" si="9"/>
        <v>TD TH</v>
      </c>
      <c r="D317" t="s">
        <v>34</v>
      </c>
      <c r="E317" t="s">
        <v>35</v>
      </c>
      <c r="F317">
        <v>16795671</v>
      </c>
      <c r="G317">
        <v>16787479</v>
      </c>
    </row>
    <row r="318" spans="2:7" x14ac:dyDescent="0.3">
      <c r="B318" t="str">
        <f t="shared" si="8"/>
        <v>TT</v>
      </c>
      <c r="C318" t="str">
        <f t="shared" si="9"/>
        <v>TD TS</v>
      </c>
      <c r="D318" t="s">
        <v>34</v>
      </c>
      <c r="E318" t="s">
        <v>36</v>
      </c>
      <c r="F318">
        <v>16795671</v>
      </c>
      <c r="G318">
        <v>16783383</v>
      </c>
    </row>
    <row r="319" spans="2:7" x14ac:dyDescent="0.3">
      <c r="B319" t="str">
        <f t="shared" si="8"/>
        <v>TT</v>
      </c>
      <c r="C319" t="str">
        <f t="shared" si="9"/>
        <v>TH TS</v>
      </c>
      <c r="D319" t="s">
        <v>35</v>
      </c>
      <c r="E319" t="s">
        <v>36</v>
      </c>
      <c r="F319">
        <v>16787479</v>
      </c>
      <c r="G319">
        <v>16783383</v>
      </c>
    </row>
    <row r="320" spans="2:7" x14ac:dyDescent="0.3">
      <c r="B320" t="str">
        <f t="shared" si="8"/>
        <v>T9s</v>
      </c>
      <c r="C320" t="str">
        <f t="shared" si="9"/>
        <v>TC 9C</v>
      </c>
      <c r="D320" t="s">
        <v>33</v>
      </c>
      <c r="E320" t="s">
        <v>37</v>
      </c>
      <c r="F320">
        <v>16812055</v>
      </c>
      <c r="G320">
        <v>8423187</v>
      </c>
    </row>
    <row r="321" spans="2:7" x14ac:dyDescent="0.3">
      <c r="B321" t="str">
        <f t="shared" si="8"/>
        <v>T9s</v>
      </c>
      <c r="C321" t="str">
        <f t="shared" si="9"/>
        <v>TD 9D</v>
      </c>
      <c r="D321" t="s">
        <v>34</v>
      </c>
      <c r="E321" t="s">
        <v>38</v>
      </c>
      <c r="F321">
        <v>16795671</v>
      </c>
      <c r="G321">
        <v>8406803</v>
      </c>
    </row>
    <row r="322" spans="2:7" x14ac:dyDescent="0.3">
      <c r="B322" t="str">
        <f t="shared" si="8"/>
        <v>T9s</v>
      </c>
      <c r="C322" t="str">
        <f t="shared" si="9"/>
        <v>TH 9H</v>
      </c>
      <c r="D322" t="s">
        <v>35</v>
      </c>
      <c r="E322" t="s">
        <v>39</v>
      </c>
      <c r="F322">
        <v>16787479</v>
      </c>
      <c r="G322">
        <v>8398611</v>
      </c>
    </row>
    <row r="323" spans="2:7" x14ac:dyDescent="0.3">
      <c r="B323" t="str">
        <f t="shared" ref="B323:B386" si="10">LEFT(D323,1)&amp;LEFT(E323,1)&amp;IF(LEFT(D323,1)=LEFT(E323,1), "", IF(RIGHT(D323,1)=RIGHT(E323,1), "s", "o"))</f>
        <v>T9s</v>
      </c>
      <c r="C323" t="str">
        <f t="shared" ref="C323:C386" si="11">UPPER(D323&amp;" "&amp;E323)</f>
        <v>TS 9S</v>
      </c>
      <c r="D323" t="s">
        <v>36</v>
      </c>
      <c r="E323" t="s">
        <v>40</v>
      </c>
      <c r="F323">
        <v>16783383</v>
      </c>
      <c r="G323">
        <v>8394515</v>
      </c>
    </row>
    <row r="324" spans="2:7" x14ac:dyDescent="0.3">
      <c r="B324" t="str">
        <f t="shared" si="10"/>
        <v>T8s</v>
      </c>
      <c r="C324" t="str">
        <f t="shared" si="11"/>
        <v>TC 8C</v>
      </c>
      <c r="D324" t="s">
        <v>33</v>
      </c>
      <c r="E324" t="s">
        <v>41</v>
      </c>
      <c r="F324">
        <v>16812055</v>
      </c>
      <c r="G324">
        <v>4228625</v>
      </c>
    </row>
    <row r="325" spans="2:7" x14ac:dyDescent="0.3">
      <c r="B325" t="str">
        <f t="shared" si="10"/>
        <v>T8s</v>
      </c>
      <c r="C325" t="str">
        <f t="shared" si="11"/>
        <v>TD 8D</v>
      </c>
      <c r="D325" t="s">
        <v>34</v>
      </c>
      <c r="E325" t="s">
        <v>42</v>
      </c>
      <c r="F325">
        <v>16795671</v>
      </c>
      <c r="G325">
        <v>4212241</v>
      </c>
    </row>
    <row r="326" spans="2:7" x14ac:dyDescent="0.3">
      <c r="B326" t="str">
        <f t="shared" si="10"/>
        <v>T8s</v>
      </c>
      <c r="C326" t="str">
        <f t="shared" si="11"/>
        <v>TH 8H</v>
      </c>
      <c r="D326" t="s">
        <v>35</v>
      </c>
      <c r="E326" t="s">
        <v>43</v>
      </c>
      <c r="F326">
        <v>16787479</v>
      </c>
      <c r="G326">
        <v>4204049</v>
      </c>
    </row>
    <row r="327" spans="2:7" x14ac:dyDescent="0.3">
      <c r="B327" t="str">
        <f t="shared" si="10"/>
        <v>T8s</v>
      </c>
      <c r="C327" t="str">
        <f t="shared" si="11"/>
        <v>TS 8S</v>
      </c>
      <c r="D327" t="s">
        <v>36</v>
      </c>
      <c r="E327" t="s">
        <v>44</v>
      </c>
      <c r="F327">
        <v>16783383</v>
      </c>
      <c r="G327">
        <v>4199953</v>
      </c>
    </row>
    <row r="328" spans="2:7" x14ac:dyDescent="0.3">
      <c r="B328" t="str">
        <f t="shared" si="10"/>
        <v>T7s</v>
      </c>
      <c r="C328" t="str">
        <f t="shared" si="11"/>
        <v>TC 7C</v>
      </c>
      <c r="D328" t="s">
        <v>33</v>
      </c>
      <c r="E328" t="s">
        <v>45</v>
      </c>
      <c r="F328">
        <v>16812055</v>
      </c>
      <c r="G328">
        <v>2131213</v>
      </c>
    </row>
    <row r="329" spans="2:7" x14ac:dyDescent="0.3">
      <c r="B329" t="str">
        <f t="shared" si="10"/>
        <v>T7s</v>
      </c>
      <c r="C329" t="str">
        <f t="shared" si="11"/>
        <v>TD 7D</v>
      </c>
      <c r="D329" t="s">
        <v>34</v>
      </c>
      <c r="E329" t="s">
        <v>46</v>
      </c>
      <c r="F329">
        <v>16795671</v>
      </c>
      <c r="G329">
        <v>2114829</v>
      </c>
    </row>
    <row r="330" spans="2:7" x14ac:dyDescent="0.3">
      <c r="B330" t="str">
        <f t="shared" si="10"/>
        <v>T7s</v>
      </c>
      <c r="C330" t="str">
        <f t="shared" si="11"/>
        <v>TH 7H</v>
      </c>
      <c r="D330" t="s">
        <v>35</v>
      </c>
      <c r="E330" t="s">
        <v>47</v>
      </c>
      <c r="F330">
        <v>16787479</v>
      </c>
      <c r="G330">
        <v>2106637</v>
      </c>
    </row>
    <row r="331" spans="2:7" x14ac:dyDescent="0.3">
      <c r="B331" t="str">
        <f t="shared" si="10"/>
        <v>T7s</v>
      </c>
      <c r="C331" t="str">
        <f t="shared" si="11"/>
        <v>TS 7S</v>
      </c>
      <c r="D331" t="s">
        <v>36</v>
      </c>
      <c r="E331" t="s">
        <v>48</v>
      </c>
      <c r="F331">
        <v>16783383</v>
      </c>
      <c r="G331">
        <v>2102541</v>
      </c>
    </row>
    <row r="332" spans="2:7" x14ac:dyDescent="0.3">
      <c r="B332" t="str">
        <f t="shared" si="10"/>
        <v>T6s</v>
      </c>
      <c r="C332" t="str">
        <f t="shared" si="11"/>
        <v>TC 6C</v>
      </c>
      <c r="D332" t="s">
        <v>33</v>
      </c>
      <c r="E332" t="s">
        <v>49</v>
      </c>
      <c r="F332">
        <v>16812055</v>
      </c>
      <c r="G332">
        <v>1082379</v>
      </c>
    </row>
    <row r="333" spans="2:7" x14ac:dyDescent="0.3">
      <c r="B333" t="str">
        <f t="shared" si="10"/>
        <v>T6s</v>
      </c>
      <c r="C333" t="str">
        <f t="shared" si="11"/>
        <v>TD 6D</v>
      </c>
      <c r="D333" t="s">
        <v>34</v>
      </c>
      <c r="E333" t="s">
        <v>50</v>
      </c>
      <c r="F333">
        <v>16795671</v>
      </c>
      <c r="G333">
        <v>1065995</v>
      </c>
    </row>
    <row r="334" spans="2:7" x14ac:dyDescent="0.3">
      <c r="B334" t="str">
        <f t="shared" si="10"/>
        <v>T6s</v>
      </c>
      <c r="C334" t="str">
        <f t="shared" si="11"/>
        <v>TH 6H</v>
      </c>
      <c r="D334" t="s">
        <v>35</v>
      </c>
      <c r="E334" t="s">
        <v>51</v>
      </c>
      <c r="F334">
        <v>16787479</v>
      </c>
      <c r="G334">
        <v>1057803</v>
      </c>
    </row>
    <row r="335" spans="2:7" x14ac:dyDescent="0.3">
      <c r="B335" t="str">
        <f t="shared" si="10"/>
        <v>T6s</v>
      </c>
      <c r="C335" t="str">
        <f t="shared" si="11"/>
        <v>TS 6S</v>
      </c>
      <c r="D335" t="s">
        <v>36</v>
      </c>
      <c r="E335" t="s">
        <v>52</v>
      </c>
      <c r="F335">
        <v>16783383</v>
      </c>
      <c r="G335">
        <v>1053707</v>
      </c>
    </row>
    <row r="336" spans="2:7" x14ac:dyDescent="0.3">
      <c r="B336" t="str">
        <f t="shared" si="10"/>
        <v>T5s</v>
      </c>
      <c r="C336" t="str">
        <f t="shared" si="11"/>
        <v>TC 5C</v>
      </c>
      <c r="D336" t="s">
        <v>33</v>
      </c>
      <c r="E336" t="s">
        <v>53</v>
      </c>
      <c r="F336">
        <v>16812055</v>
      </c>
      <c r="G336">
        <v>557831</v>
      </c>
    </row>
    <row r="337" spans="2:7" x14ac:dyDescent="0.3">
      <c r="B337" t="str">
        <f t="shared" si="10"/>
        <v>T5s</v>
      </c>
      <c r="C337" t="str">
        <f t="shared" si="11"/>
        <v>TD 5D</v>
      </c>
      <c r="D337" t="s">
        <v>34</v>
      </c>
      <c r="E337" t="s">
        <v>54</v>
      </c>
      <c r="F337">
        <v>16795671</v>
      </c>
      <c r="G337">
        <v>541447</v>
      </c>
    </row>
    <row r="338" spans="2:7" x14ac:dyDescent="0.3">
      <c r="B338" t="str">
        <f t="shared" si="10"/>
        <v>T5s</v>
      </c>
      <c r="C338" t="str">
        <f t="shared" si="11"/>
        <v>TH 5H</v>
      </c>
      <c r="D338" t="s">
        <v>35</v>
      </c>
      <c r="E338" t="s">
        <v>55</v>
      </c>
      <c r="F338">
        <v>16787479</v>
      </c>
      <c r="G338">
        <v>533255</v>
      </c>
    </row>
    <row r="339" spans="2:7" x14ac:dyDescent="0.3">
      <c r="B339" t="str">
        <f t="shared" si="10"/>
        <v>T5s</v>
      </c>
      <c r="C339" t="str">
        <f t="shared" si="11"/>
        <v>TS 5S</v>
      </c>
      <c r="D339" t="s">
        <v>36</v>
      </c>
      <c r="E339" t="s">
        <v>56</v>
      </c>
      <c r="F339">
        <v>16783383</v>
      </c>
      <c r="G339">
        <v>529159</v>
      </c>
    </row>
    <row r="340" spans="2:7" x14ac:dyDescent="0.3">
      <c r="B340" t="str">
        <f t="shared" si="10"/>
        <v>T4s</v>
      </c>
      <c r="C340" t="str">
        <f t="shared" si="11"/>
        <v>TC 4C</v>
      </c>
      <c r="D340" t="s">
        <v>33</v>
      </c>
      <c r="E340" t="s">
        <v>57</v>
      </c>
      <c r="F340">
        <v>16812055</v>
      </c>
      <c r="G340">
        <v>295429</v>
      </c>
    </row>
    <row r="341" spans="2:7" x14ac:dyDescent="0.3">
      <c r="B341" t="str">
        <f t="shared" si="10"/>
        <v>T4s</v>
      </c>
      <c r="C341" t="str">
        <f t="shared" si="11"/>
        <v>TD 4D</v>
      </c>
      <c r="D341" t="s">
        <v>34</v>
      </c>
      <c r="E341" t="s">
        <v>58</v>
      </c>
      <c r="F341">
        <v>16795671</v>
      </c>
      <c r="G341">
        <v>279045</v>
      </c>
    </row>
    <row r="342" spans="2:7" x14ac:dyDescent="0.3">
      <c r="B342" t="str">
        <f t="shared" si="10"/>
        <v>T4s</v>
      </c>
      <c r="C342" t="str">
        <f t="shared" si="11"/>
        <v>TH 4H</v>
      </c>
      <c r="D342" t="s">
        <v>35</v>
      </c>
      <c r="E342" t="s">
        <v>59</v>
      </c>
      <c r="F342">
        <v>16787479</v>
      </c>
      <c r="G342">
        <v>270853</v>
      </c>
    </row>
    <row r="343" spans="2:7" x14ac:dyDescent="0.3">
      <c r="B343" t="str">
        <f t="shared" si="10"/>
        <v>T4s</v>
      </c>
      <c r="C343" t="str">
        <f t="shared" si="11"/>
        <v>TS 4S</v>
      </c>
      <c r="D343" t="s">
        <v>36</v>
      </c>
      <c r="E343" t="s">
        <v>60</v>
      </c>
      <c r="F343">
        <v>16783383</v>
      </c>
      <c r="G343">
        <v>266757</v>
      </c>
    </row>
    <row r="344" spans="2:7" x14ac:dyDescent="0.3">
      <c r="B344" t="str">
        <f t="shared" si="10"/>
        <v>T3s</v>
      </c>
      <c r="C344" t="str">
        <f t="shared" si="11"/>
        <v>TC 3C</v>
      </c>
      <c r="D344" t="s">
        <v>33</v>
      </c>
      <c r="E344" t="s">
        <v>61</v>
      </c>
      <c r="F344">
        <v>16812055</v>
      </c>
      <c r="G344">
        <v>164099</v>
      </c>
    </row>
    <row r="345" spans="2:7" x14ac:dyDescent="0.3">
      <c r="B345" t="str">
        <f t="shared" si="10"/>
        <v>T3s</v>
      </c>
      <c r="C345" t="str">
        <f t="shared" si="11"/>
        <v>TD 3D</v>
      </c>
      <c r="D345" t="s">
        <v>34</v>
      </c>
      <c r="E345" t="s">
        <v>62</v>
      </c>
      <c r="F345">
        <v>16795671</v>
      </c>
      <c r="G345">
        <v>147715</v>
      </c>
    </row>
    <row r="346" spans="2:7" x14ac:dyDescent="0.3">
      <c r="B346" t="str">
        <f t="shared" si="10"/>
        <v>T3s</v>
      </c>
      <c r="C346" t="str">
        <f t="shared" si="11"/>
        <v>TH 3H</v>
      </c>
      <c r="D346" t="s">
        <v>35</v>
      </c>
      <c r="E346" t="s">
        <v>63</v>
      </c>
      <c r="F346">
        <v>16787479</v>
      </c>
      <c r="G346">
        <v>139523</v>
      </c>
    </row>
    <row r="347" spans="2:7" x14ac:dyDescent="0.3">
      <c r="B347" t="str">
        <f t="shared" si="10"/>
        <v>T3s</v>
      </c>
      <c r="C347" t="str">
        <f t="shared" si="11"/>
        <v>TS 3S</v>
      </c>
      <c r="D347" t="s">
        <v>36</v>
      </c>
      <c r="E347" t="s">
        <v>64</v>
      </c>
      <c r="F347">
        <v>16783383</v>
      </c>
      <c r="G347">
        <v>135427</v>
      </c>
    </row>
    <row r="348" spans="2:7" x14ac:dyDescent="0.3">
      <c r="B348" t="str">
        <f t="shared" si="10"/>
        <v>T2s</v>
      </c>
      <c r="C348" t="str">
        <f t="shared" si="11"/>
        <v>TC 2C</v>
      </c>
      <c r="D348" t="s">
        <v>33</v>
      </c>
      <c r="E348" t="s">
        <v>65</v>
      </c>
      <c r="F348">
        <v>16812055</v>
      </c>
      <c r="G348">
        <v>98306</v>
      </c>
    </row>
    <row r="349" spans="2:7" x14ac:dyDescent="0.3">
      <c r="B349" t="str">
        <f t="shared" si="10"/>
        <v>T2s</v>
      </c>
      <c r="C349" t="str">
        <f t="shared" si="11"/>
        <v>TD 2D</v>
      </c>
      <c r="D349" t="s">
        <v>34</v>
      </c>
      <c r="E349" t="s">
        <v>66</v>
      </c>
      <c r="F349">
        <v>16795671</v>
      </c>
      <c r="G349">
        <v>81922</v>
      </c>
    </row>
    <row r="350" spans="2:7" x14ac:dyDescent="0.3">
      <c r="B350" t="str">
        <f t="shared" si="10"/>
        <v>T2s</v>
      </c>
      <c r="C350" t="str">
        <f t="shared" si="11"/>
        <v>TH 2H</v>
      </c>
      <c r="D350" t="s">
        <v>35</v>
      </c>
      <c r="E350" t="s">
        <v>67</v>
      </c>
      <c r="F350">
        <v>16787479</v>
      </c>
      <c r="G350">
        <v>73730</v>
      </c>
    </row>
    <row r="351" spans="2:7" x14ac:dyDescent="0.3">
      <c r="B351" t="str">
        <f t="shared" si="10"/>
        <v>T2s</v>
      </c>
      <c r="C351" t="str">
        <f t="shared" si="11"/>
        <v>TS 2S</v>
      </c>
      <c r="D351" t="s">
        <v>36</v>
      </c>
      <c r="E351" t="s">
        <v>68</v>
      </c>
      <c r="F351">
        <v>16783383</v>
      </c>
      <c r="G351">
        <v>69634</v>
      </c>
    </row>
    <row r="352" spans="2:7" x14ac:dyDescent="0.3">
      <c r="B352" t="str">
        <f t="shared" si="10"/>
        <v>A9o</v>
      </c>
      <c r="C352" t="str">
        <f t="shared" si="11"/>
        <v>AC 9D</v>
      </c>
      <c r="D352" t="s">
        <v>17</v>
      </c>
      <c r="E352" t="s">
        <v>38</v>
      </c>
      <c r="F352">
        <v>268471337</v>
      </c>
      <c r="G352">
        <v>8406803</v>
      </c>
    </row>
    <row r="353" spans="2:7" x14ac:dyDescent="0.3">
      <c r="B353" t="str">
        <f t="shared" si="10"/>
        <v>A9o</v>
      </c>
      <c r="C353" t="str">
        <f t="shared" si="11"/>
        <v>AC 9H</v>
      </c>
      <c r="D353" t="s">
        <v>17</v>
      </c>
      <c r="E353" t="s">
        <v>39</v>
      </c>
      <c r="F353">
        <v>268471337</v>
      </c>
      <c r="G353">
        <v>8398611</v>
      </c>
    </row>
    <row r="354" spans="2:7" x14ac:dyDescent="0.3">
      <c r="B354" t="str">
        <f t="shared" si="10"/>
        <v>A9o</v>
      </c>
      <c r="C354" t="str">
        <f t="shared" si="11"/>
        <v>AC 9S</v>
      </c>
      <c r="D354" t="s">
        <v>17</v>
      </c>
      <c r="E354" t="s">
        <v>40</v>
      </c>
      <c r="F354">
        <v>268471337</v>
      </c>
      <c r="G354">
        <v>8394515</v>
      </c>
    </row>
    <row r="355" spans="2:7" x14ac:dyDescent="0.3">
      <c r="B355" t="str">
        <f t="shared" si="10"/>
        <v>A9o</v>
      </c>
      <c r="C355" t="str">
        <f t="shared" si="11"/>
        <v>AD 9C</v>
      </c>
      <c r="D355" t="s">
        <v>18</v>
      </c>
      <c r="E355" t="s">
        <v>37</v>
      </c>
      <c r="F355">
        <v>268454953</v>
      </c>
      <c r="G355">
        <v>8423187</v>
      </c>
    </row>
    <row r="356" spans="2:7" x14ac:dyDescent="0.3">
      <c r="B356" t="str">
        <f t="shared" si="10"/>
        <v>A9o</v>
      </c>
      <c r="C356" t="str">
        <f t="shared" si="11"/>
        <v>AD 9H</v>
      </c>
      <c r="D356" t="s">
        <v>18</v>
      </c>
      <c r="E356" t="s">
        <v>39</v>
      </c>
      <c r="F356">
        <v>268454953</v>
      </c>
      <c r="G356">
        <v>8398611</v>
      </c>
    </row>
    <row r="357" spans="2:7" x14ac:dyDescent="0.3">
      <c r="B357" t="str">
        <f t="shared" si="10"/>
        <v>A9o</v>
      </c>
      <c r="C357" t="str">
        <f t="shared" si="11"/>
        <v>AD 9S</v>
      </c>
      <c r="D357" t="s">
        <v>18</v>
      </c>
      <c r="E357" t="s">
        <v>40</v>
      </c>
      <c r="F357">
        <v>268454953</v>
      </c>
      <c r="G357">
        <v>8394515</v>
      </c>
    </row>
    <row r="358" spans="2:7" x14ac:dyDescent="0.3">
      <c r="B358" t="str">
        <f t="shared" si="10"/>
        <v>A9o</v>
      </c>
      <c r="C358" t="str">
        <f t="shared" si="11"/>
        <v>AH 9C</v>
      </c>
      <c r="D358" t="s">
        <v>19</v>
      </c>
      <c r="E358" t="s">
        <v>37</v>
      </c>
      <c r="F358">
        <v>268446761</v>
      </c>
      <c r="G358">
        <v>8423187</v>
      </c>
    </row>
    <row r="359" spans="2:7" x14ac:dyDescent="0.3">
      <c r="B359" t="str">
        <f t="shared" si="10"/>
        <v>A9o</v>
      </c>
      <c r="C359" t="str">
        <f t="shared" si="11"/>
        <v>AH 9D</v>
      </c>
      <c r="D359" t="s">
        <v>19</v>
      </c>
      <c r="E359" t="s">
        <v>38</v>
      </c>
      <c r="F359">
        <v>268446761</v>
      </c>
      <c r="G359">
        <v>8406803</v>
      </c>
    </row>
    <row r="360" spans="2:7" x14ac:dyDescent="0.3">
      <c r="B360" t="str">
        <f t="shared" si="10"/>
        <v>A9o</v>
      </c>
      <c r="C360" t="str">
        <f t="shared" si="11"/>
        <v>AH 9S</v>
      </c>
      <c r="D360" t="s">
        <v>19</v>
      </c>
      <c r="E360" t="s">
        <v>40</v>
      </c>
      <c r="F360">
        <v>268446761</v>
      </c>
      <c r="G360">
        <v>8394515</v>
      </c>
    </row>
    <row r="361" spans="2:7" x14ac:dyDescent="0.3">
      <c r="B361" t="str">
        <f t="shared" si="10"/>
        <v>A9o</v>
      </c>
      <c r="C361" t="str">
        <f t="shared" si="11"/>
        <v>AS 9C</v>
      </c>
      <c r="D361" t="s">
        <v>20</v>
      </c>
      <c r="E361" t="s">
        <v>37</v>
      </c>
      <c r="F361">
        <v>268442665</v>
      </c>
      <c r="G361">
        <v>8423187</v>
      </c>
    </row>
    <row r="362" spans="2:7" x14ac:dyDescent="0.3">
      <c r="B362" t="str">
        <f t="shared" si="10"/>
        <v>A9o</v>
      </c>
      <c r="C362" t="str">
        <f t="shared" si="11"/>
        <v>AS 9D</v>
      </c>
      <c r="D362" t="s">
        <v>20</v>
      </c>
      <c r="E362" t="s">
        <v>38</v>
      </c>
      <c r="F362">
        <v>268442665</v>
      </c>
      <c r="G362">
        <v>8406803</v>
      </c>
    </row>
    <row r="363" spans="2:7" x14ac:dyDescent="0.3">
      <c r="B363" t="str">
        <f t="shared" si="10"/>
        <v>A9o</v>
      </c>
      <c r="C363" t="str">
        <f t="shared" si="11"/>
        <v>AS 9H</v>
      </c>
      <c r="D363" t="s">
        <v>20</v>
      </c>
      <c r="E363" t="s">
        <v>39</v>
      </c>
      <c r="F363">
        <v>268442665</v>
      </c>
      <c r="G363">
        <v>8398611</v>
      </c>
    </row>
    <row r="364" spans="2:7" x14ac:dyDescent="0.3">
      <c r="B364" t="str">
        <f t="shared" si="10"/>
        <v>K9o</v>
      </c>
      <c r="C364" t="str">
        <f t="shared" si="11"/>
        <v>KC 9D</v>
      </c>
      <c r="D364" t="s">
        <v>21</v>
      </c>
      <c r="E364" t="s">
        <v>38</v>
      </c>
      <c r="F364">
        <v>134253349</v>
      </c>
      <c r="G364">
        <v>8406803</v>
      </c>
    </row>
    <row r="365" spans="2:7" x14ac:dyDescent="0.3">
      <c r="B365" t="str">
        <f t="shared" si="10"/>
        <v>K9o</v>
      </c>
      <c r="C365" t="str">
        <f t="shared" si="11"/>
        <v>KC 9H</v>
      </c>
      <c r="D365" t="s">
        <v>21</v>
      </c>
      <c r="E365" t="s">
        <v>39</v>
      </c>
      <c r="F365">
        <v>134253349</v>
      </c>
      <c r="G365">
        <v>8398611</v>
      </c>
    </row>
    <row r="366" spans="2:7" x14ac:dyDescent="0.3">
      <c r="B366" t="str">
        <f t="shared" si="10"/>
        <v>K9o</v>
      </c>
      <c r="C366" t="str">
        <f t="shared" si="11"/>
        <v>KC 9S</v>
      </c>
      <c r="D366" t="s">
        <v>21</v>
      </c>
      <c r="E366" t="s">
        <v>40</v>
      </c>
      <c r="F366">
        <v>134253349</v>
      </c>
      <c r="G366">
        <v>8394515</v>
      </c>
    </row>
    <row r="367" spans="2:7" x14ac:dyDescent="0.3">
      <c r="B367" t="str">
        <f t="shared" si="10"/>
        <v>K9o</v>
      </c>
      <c r="C367" t="str">
        <f t="shared" si="11"/>
        <v>KD 9C</v>
      </c>
      <c r="D367" t="s">
        <v>22</v>
      </c>
      <c r="E367" t="s">
        <v>37</v>
      </c>
      <c r="F367">
        <v>134236965</v>
      </c>
      <c r="G367">
        <v>8423187</v>
      </c>
    </row>
    <row r="368" spans="2:7" x14ac:dyDescent="0.3">
      <c r="B368" t="str">
        <f t="shared" si="10"/>
        <v>K9o</v>
      </c>
      <c r="C368" t="str">
        <f t="shared" si="11"/>
        <v>KD 9H</v>
      </c>
      <c r="D368" t="s">
        <v>22</v>
      </c>
      <c r="E368" t="s">
        <v>39</v>
      </c>
      <c r="F368">
        <v>134236965</v>
      </c>
      <c r="G368">
        <v>8398611</v>
      </c>
    </row>
    <row r="369" spans="2:7" x14ac:dyDescent="0.3">
      <c r="B369" t="str">
        <f t="shared" si="10"/>
        <v>K9o</v>
      </c>
      <c r="C369" t="str">
        <f t="shared" si="11"/>
        <v>KD 9S</v>
      </c>
      <c r="D369" t="s">
        <v>22</v>
      </c>
      <c r="E369" t="s">
        <v>40</v>
      </c>
      <c r="F369">
        <v>134236965</v>
      </c>
      <c r="G369">
        <v>8394515</v>
      </c>
    </row>
    <row r="370" spans="2:7" x14ac:dyDescent="0.3">
      <c r="B370" t="str">
        <f t="shared" si="10"/>
        <v>K9o</v>
      </c>
      <c r="C370" t="str">
        <f t="shared" si="11"/>
        <v>KH 9C</v>
      </c>
      <c r="D370" t="s">
        <v>23</v>
      </c>
      <c r="E370" t="s">
        <v>37</v>
      </c>
      <c r="F370">
        <v>134228773</v>
      </c>
      <c r="G370">
        <v>8423187</v>
      </c>
    </row>
    <row r="371" spans="2:7" x14ac:dyDescent="0.3">
      <c r="B371" t="str">
        <f t="shared" si="10"/>
        <v>K9o</v>
      </c>
      <c r="C371" t="str">
        <f t="shared" si="11"/>
        <v>KH 9D</v>
      </c>
      <c r="D371" t="s">
        <v>23</v>
      </c>
      <c r="E371" t="s">
        <v>38</v>
      </c>
      <c r="F371">
        <v>134228773</v>
      </c>
      <c r="G371">
        <v>8406803</v>
      </c>
    </row>
    <row r="372" spans="2:7" x14ac:dyDescent="0.3">
      <c r="B372" t="str">
        <f t="shared" si="10"/>
        <v>K9o</v>
      </c>
      <c r="C372" t="str">
        <f t="shared" si="11"/>
        <v>KH 9S</v>
      </c>
      <c r="D372" t="s">
        <v>23</v>
      </c>
      <c r="E372" t="s">
        <v>40</v>
      </c>
      <c r="F372">
        <v>134228773</v>
      </c>
      <c r="G372">
        <v>8394515</v>
      </c>
    </row>
    <row r="373" spans="2:7" x14ac:dyDescent="0.3">
      <c r="B373" t="str">
        <f t="shared" si="10"/>
        <v>K9o</v>
      </c>
      <c r="C373" t="str">
        <f t="shared" si="11"/>
        <v>KS 9C</v>
      </c>
      <c r="D373" t="s">
        <v>24</v>
      </c>
      <c r="E373" t="s">
        <v>37</v>
      </c>
      <c r="F373">
        <v>134224677</v>
      </c>
      <c r="G373">
        <v>8423187</v>
      </c>
    </row>
    <row r="374" spans="2:7" x14ac:dyDescent="0.3">
      <c r="B374" t="str">
        <f t="shared" si="10"/>
        <v>K9o</v>
      </c>
      <c r="C374" t="str">
        <f t="shared" si="11"/>
        <v>KS 9D</v>
      </c>
      <c r="D374" t="s">
        <v>24</v>
      </c>
      <c r="E374" t="s">
        <v>38</v>
      </c>
      <c r="F374">
        <v>134224677</v>
      </c>
      <c r="G374">
        <v>8406803</v>
      </c>
    </row>
    <row r="375" spans="2:7" x14ac:dyDescent="0.3">
      <c r="B375" t="str">
        <f t="shared" si="10"/>
        <v>K9o</v>
      </c>
      <c r="C375" t="str">
        <f t="shared" si="11"/>
        <v>KS 9H</v>
      </c>
      <c r="D375" t="s">
        <v>24</v>
      </c>
      <c r="E375" t="s">
        <v>39</v>
      </c>
      <c r="F375">
        <v>134224677</v>
      </c>
      <c r="G375">
        <v>8398611</v>
      </c>
    </row>
    <row r="376" spans="2:7" x14ac:dyDescent="0.3">
      <c r="B376" t="str">
        <f t="shared" si="10"/>
        <v>Q9o</v>
      </c>
      <c r="C376" t="str">
        <f t="shared" si="11"/>
        <v>QC 9D</v>
      </c>
      <c r="D376" t="s">
        <v>25</v>
      </c>
      <c r="E376" t="s">
        <v>38</v>
      </c>
      <c r="F376">
        <v>67144223</v>
      </c>
      <c r="G376">
        <v>8406803</v>
      </c>
    </row>
    <row r="377" spans="2:7" x14ac:dyDescent="0.3">
      <c r="B377" t="str">
        <f t="shared" si="10"/>
        <v>Q9o</v>
      </c>
      <c r="C377" t="str">
        <f t="shared" si="11"/>
        <v>QC 9H</v>
      </c>
      <c r="D377" t="s">
        <v>25</v>
      </c>
      <c r="E377" t="s">
        <v>39</v>
      </c>
      <c r="F377">
        <v>67144223</v>
      </c>
      <c r="G377">
        <v>8398611</v>
      </c>
    </row>
    <row r="378" spans="2:7" x14ac:dyDescent="0.3">
      <c r="B378" t="str">
        <f t="shared" si="10"/>
        <v>Q9o</v>
      </c>
      <c r="C378" t="str">
        <f t="shared" si="11"/>
        <v>QC 9S</v>
      </c>
      <c r="D378" t="s">
        <v>25</v>
      </c>
      <c r="E378" t="s">
        <v>40</v>
      </c>
      <c r="F378">
        <v>67144223</v>
      </c>
      <c r="G378">
        <v>8394515</v>
      </c>
    </row>
    <row r="379" spans="2:7" x14ac:dyDescent="0.3">
      <c r="B379" t="str">
        <f t="shared" si="10"/>
        <v>Q9o</v>
      </c>
      <c r="C379" t="str">
        <f t="shared" si="11"/>
        <v>QD 9C</v>
      </c>
      <c r="D379" t="s">
        <v>26</v>
      </c>
      <c r="E379" t="s">
        <v>37</v>
      </c>
      <c r="F379">
        <v>67127839</v>
      </c>
      <c r="G379">
        <v>8423187</v>
      </c>
    </row>
    <row r="380" spans="2:7" x14ac:dyDescent="0.3">
      <c r="B380" t="str">
        <f t="shared" si="10"/>
        <v>Q9o</v>
      </c>
      <c r="C380" t="str">
        <f t="shared" si="11"/>
        <v>QD 9H</v>
      </c>
      <c r="D380" t="s">
        <v>26</v>
      </c>
      <c r="E380" t="s">
        <v>39</v>
      </c>
      <c r="F380">
        <v>67127839</v>
      </c>
      <c r="G380">
        <v>8398611</v>
      </c>
    </row>
    <row r="381" spans="2:7" x14ac:dyDescent="0.3">
      <c r="B381" t="str">
        <f t="shared" si="10"/>
        <v>Q9o</v>
      </c>
      <c r="C381" t="str">
        <f t="shared" si="11"/>
        <v>QD 9S</v>
      </c>
      <c r="D381" t="s">
        <v>26</v>
      </c>
      <c r="E381" t="s">
        <v>40</v>
      </c>
      <c r="F381">
        <v>67127839</v>
      </c>
      <c r="G381">
        <v>8394515</v>
      </c>
    </row>
    <row r="382" spans="2:7" x14ac:dyDescent="0.3">
      <c r="B382" t="str">
        <f t="shared" si="10"/>
        <v>Q9o</v>
      </c>
      <c r="C382" t="str">
        <f t="shared" si="11"/>
        <v>QH 9C</v>
      </c>
      <c r="D382" t="s">
        <v>27</v>
      </c>
      <c r="E382" t="s">
        <v>37</v>
      </c>
      <c r="F382">
        <v>67119647</v>
      </c>
      <c r="G382">
        <v>8423187</v>
      </c>
    </row>
    <row r="383" spans="2:7" x14ac:dyDescent="0.3">
      <c r="B383" t="str">
        <f t="shared" si="10"/>
        <v>Q9o</v>
      </c>
      <c r="C383" t="str">
        <f t="shared" si="11"/>
        <v>QH 9D</v>
      </c>
      <c r="D383" t="s">
        <v>27</v>
      </c>
      <c r="E383" t="s">
        <v>38</v>
      </c>
      <c r="F383">
        <v>67119647</v>
      </c>
      <c r="G383">
        <v>8406803</v>
      </c>
    </row>
    <row r="384" spans="2:7" x14ac:dyDescent="0.3">
      <c r="B384" t="str">
        <f t="shared" si="10"/>
        <v>Q9o</v>
      </c>
      <c r="C384" t="str">
        <f t="shared" si="11"/>
        <v>QH 9S</v>
      </c>
      <c r="D384" t="s">
        <v>27</v>
      </c>
      <c r="E384" t="s">
        <v>40</v>
      </c>
      <c r="F384">
        <v>67119647</v>
      </c>
      <c r="G384">
        <v>8394515</v>
      </c>
    </row>
    <row r="385" spans="2:7" x14ac:dyDescent="0.3">
      <c r="B385" t="str">
        <f t="shared" si="10"/>
        <v>Q9o</v>
      </c>
      <c r="C385" t="str">
        <f t="shared" si="11"/>
        <v>QS 9C</v>
      </c>
      <c r="D385" t="s">
        <v>28</v>
      </c>
      <c r="E385" t="s">
        <v>37</v>
      </c>
      <c r="F385">
        <v>67115551</v>
      </c>
      <c r="G385">
        <v>8423187</v>
      </c>
    </row>
    <row r="386" spans="2:7" x14ac:dyDescent="0.3">
      <c r="B386" t="str">
        <f t="shared" si="10"/>
        <v>Q9o</v>
      </c>
      <c r="C386" t="str">
        <f t="shared" si="11"/>
        <v>QS 9D</v>
      </c>
      <c r="D386" t="s">
        <v>28</v>
      </c>
      <c r="E386" t="s">
        <v>38</v>
      </c>
      <c r="F386">
        <v>67115551</v>
      </c>
      <c r="G386">
        <v>8406803</v>
      </c>
    </row>
    <row r="387" spans="2:7" x14ac:dyDescent="0.3">
      <c r="B387" t="str">
        <f t="shared" ref="B387:B450" si="12">LEFT(D387,1)&amp;LEFT(E387,1)&amp;IF(LEFT(D387,1)=LEFT(E387,1), "", IF(RIGHT(D387,1)=RIGHT(E387,1), "s", "o"))</f>
        <v>Q9o</v>
      </c>
      <c r="C387" t="str">
        <f t="shared" ref="C387:C450" si="13">UPPER(D387&amp;" "&amp;E387)</f>
        <v>QS 9H</v>
      </c>
      <c r="D387" t="s">
        <v>28</v>
      </c>
      <c r="E387" t="s">
        <v>39</v>
      </c>
      <c r="F387">
        <v>67115551</v>
      </c>
      <c r="G387">
        <v>8398611</v>
      </c>
    </row>
    <row r="388" spans="2:7" x14ac:dyDescent="0.3">
      <c r="B388" t="str">
        <f t="shared" si="12"/>
        <v>J9o</v>
      </c>
      <c r="C388" t="str">
        <f t="shared" si="13"/>
        <v>JC 9D</v>
      </c>
      <c r="D388" t="s">
        <v>29</v>
      </c>
      <c r="E388" t="s">
        <v>38</v>
      </c>
      <c r="F388">
        <v>33589533</v>
      </c>
      <c r="G388">
        <v>8406803</v>
      </c>
    </row>
    <row r="389" spans="2:7" x14ac:dyDescent="0.3">
      <c r="B389" t="str">
        <f t="shared" si="12"/>
        <v>J9o</v>
      </c>
      <c r="C389" t="str">
        <f t="shared" si="13"/>
        <v>JC 9H</v>
      </c>
      <c r="D389" t="s">
        <v>29</v>
      </c>
      <c r="E389" t="s">
        <v>39</v>
      </c>
      <c r="F389">
        <v>33589533</v>
      </c>
      <c r="G389">
        <v>8398611</v>
      </c>
    </row>
    <row r="390" spans="2:7" x14ac:dyDescent="0.3">
      <c r="B390" t="str">
        <f t="shared" si="12"/>
        <v>J9o</v>
      </c>
      <c r="C390" t="str">
        <f t="shared" si="13"/>
        <v>JC 9S</v>
      </c>
      <c r="D390" t="s">
        <v>29</v>
      </c>
      <c r="E390" t="s">
        <v>40</v>
      </c>
      <c r="F390">
        <v>33589533</v>
      </c>
      <c r="G390">
        <v>8394515</v>
      </c>
    </row>
    <row r="391" spans="2:7" x14ac:dyDescent="0.3">
      <c r="B391" t="str">
        <f t="shared" si="12"/>
        <v>J9o</v>
      </c>
      <c r="C391" t="str">
        <f t="shared" si="13"/>
        <v>JD 9C</v>
      </c>
      <c r="D391" t="s">
        <v>30</v>
      </c>
      <c r="E391" t="s">
        <v>37</v>
      </c>
      <c r="F391">
        <v>33573149</v>
      </c>
      <c r="G391">
        <v>8423187</v>
      </c>
    </row>
    <row r="392" spans="2:7" x14ac:dyDescent="0.3">
      <c r="B392" t="str">
        <f t="shared" si="12"/>
        <v>J9o</v>
      </c>
      <c r="C392" t="str">
        <f t="shared" si="13"/>
        <v>JD 9H</v>
      </c>
      <c r="D392" t="s">
        <v>30</v>
      </c>
      <c r="E392" t="s">
        <v>39</v>
      </c>
      <c r="F392">
        <v>33573149</v>
      </c>
      <c r="G392">
        <v>8398611</v>
      </c>
    </row>
    <row r="393" spans="2:7" x14ac:dyDescent="0.3">
      <c r="B393" t="str">
        <f t="shared" si="12"/>
        <v>J9o</v>
      </c>
      <c r="C393" t="str">
        <f t="shared" si="13"/>
        <v>JD 9S</v>
      </c>
      <c r="D393" t="s">
        <v>30</v>
      </c>
      <c r="E393" t="s">
        <v>40</v>
      </c>
      <c r="F393">
        <v>33573149</v>
      </c>
      <c r="G393">
        <v>8394515</v>
      </c>
    </row>
    <row r="394" spans="2:7" x14ac:dyDescent="0.3">
      <c r="B394" t="str">
        <f t="shared" si="12"/>
        <v>J9o</v>
      </c>
      <c r="C394" t="str">
        <f t="shared" si="13"/>
        <v>JH 9C</v>
      </c>
      <c r="D394" t="s">
        <v>31</v>
      </c>
      <c r="E394" t="s">
        <v>37</v>
      </c>
      <c r="F394">
        <v>33564957</v>
      </c>
      <c r="G394">
        <v>8423187</v>
      </c>
    </row>
    <row r="395" spans="2:7" x14ac:dyDescent="0.3">
      <c r="B395" t="str">
        <f t="shared" si="12"/>
        <v>J9o</v>
      </c>
      <c r="C395" t="str">
        <f t="shared" si="13"/>
        <v>JH 9D</v>
      </c>
      <c r="D395" t="s">
        <v>31</v>
      </c>
      <c r="E395" t="s">
        <v>38</v>
      </c>
      <c r="F395">
        <v>33564957</v>
      </c>
      <c r="G395">
        <v>8406803</v>
      </c>
    </row>
    <row r="396" spans="2:7" x14ac:dyDescent="0.3">
      <c r="B396" t="str">
        <f t="shared" si="12"/>
        <v>J9o</v>
      </c>
      <c r="C396" t="str">
        <f t="shared" si="13"/>
        <v>JH 9S</v>
      </c>
      <c r="D396" t="s">
        <v>31</v>
      </c>
      <c r="E396" t="s">
        <v>40</v>
      </c>
      <c r="F396">
        <v>33564957</v>
      </c>
      <c r="G396">
        <v>8394515</v>
      </c>
    </row>
    <row r="397" spans="2:7" x14ac:dyDescent="0.3">
      <c r="B397" t="str">
        <f t="shared" si="12"/>
        <v>J9o</v>
      </c>
      <c r="C397" t="str">
        <f t="shared" si="13"/>
        <v>JS 9C</v>
      </c>
      <c r="D397" t="s">
        <v>32</v>
      </c>
      <c r="E397" t="s">
        <v>37</v>
      </c>
      <c r="F397">
        <v>33560861</v>
      </c>
      <c r="G397">
        <v>8423187</v>
      </c>
    </row>
    <row r="398" spans="2:7" x14ac:dyDescent="0.3">
      <c r="B398" t="str">
        <f t="shared" si="12"/>
        <v>J9o</v>
      </c>
      <c r="C398" t="str">
        <f t="shared" si="13"/>
        <v>JS 9D</v>
      </c>
      <c r="D398" t="s">
        <v>32</v>
      </c>
      <c r="E398" t="s">
        <v>38</v>
      </c>
      <c r="F398">
        <v>33560861</v>
      </c>
      <c r="G398">
        <v>8406803</v>
      </c>
    </row>
    <row r="399" spans="2:7" x14ac:dyDescent="0.3">
      <c r="B399" t="str">
        <f t="shared" si="12"/>
        <v>J9o</v>
      </c>
      <c r="C399" t="str">
        <f t="shared" si="13"/>
        <v>JS 9H</v>
      </c>
      <c r="D399" t="s">
        <v>32</v>
      </c>
      <c r="E399" t="s">
        <v>39</v>
      </c>
      <c r="F399">
        <v>33560861</v>
      </c>
      <c r="G399">
        <v>8398611</v>
      </c>
    </row>
    <row r="400" spans="2:7" x14ac:dyDescent="0.3">
      <c r="B400" t="str">
        <f t="shared" si="12"/>
        <v>T9o</v>
      </c>
      <c r="C400" t="str">
        <f t="shared" si="13"/>
        <v>TC 9D</v>
      </c>
      <c r="D400" t="s">
        <v>33</v>
      </c>
      <c r="E400" t="s">
        <v>38</v>
      </c>
      <c r="F400">
        <v>16812055</v>
      </c>
      <c r="G400">
        <v>8406803</v>
      </c>
    </row>
    <row r="401" spans="2:7" x14ac:dyDescent="0.3">
      <c r="B401" t="str">
        <f t="shared" si="12"/>
        <v>T9o</v>
      </c>
      <c r="C401" t="str">
        <f t="shared" si="13"/>
        <v>TC 9H</v>
      </c>
      <c r="D401" t="s">
        <v>33</v>
      </c>
      <c r="E401" t="s">
        <v>39</v>
      </c>
      <c r="F401">
        <v>16812055</v>
      </c>
      <c r="G401">
        <v>8398611</v>
      </c>
    </row>
    <row r="402" spans="2:7" x14ac:dyDescent="0.3">
      <c r="B402" t="str">
        <f t="shared" si="12"/>
        <v>T9o</v>
      </c>
      <c r="C402" t="str">
        <f t="shared" si="13"/>
        <v>TC 9S</v>
      </c>
      <c r="D402" t="s">
        <v>33</v>
      </c>
      <c r="E402" t="s">
        <v>40</v>
      </c>
      <c r="F402">
        <v>16812055</v>
      </c>
      <c r="G402">
        <v>8394515</v>
      </c>
    </row>
    <row r="403" spans="2:7" x14ac:dyDescent="0.3">
      <c r="B403" t="str">
        <f t="shared" si="12"/>
        <v>T9o</v>
      </c>
      <c r="C403" t="str">
        <f t="shared" si="13"/>
        <v>TD 9C</v>
      </c>
      <c r="D403" t="s">
        <v>34</v>
      </c>
      <c r="E403" t="s">
        <v>37</v>
      </c>
      <c r="F403">
        <v>16795671</v>
      </c>
      <c r="G403">
        <v>8423187</v>
      </c>
    </row>
    <row r="404" spans="2:7" x14ac:dyDescent="0.3">
      <c r="B404" t="str">
        <f t="shared" si="12"/>
        <v>T9o</v>
      </c>
      <c r="C404" t="str">
        <f t="shared" si="13"/>
        <v>TD 9H</v>
      </c>
      <c r="D404" t="s">
        <v>34</v>
      </c>
      <c r="E404" t="s">
        <v>39</v>
      </c>
      <c r="F404">
        <v>16795671</v>
      </c>
      <c r="G404">
        <v>8398611</v>
      </c>
    </row>
    <row r="405" spans="2:7" x14ac:dyDescent="0.3">
      <c r="B405" t="str">
        <f t="shared" si="12"/>
        <v>T9o</v>
      </c>
      <c r="C405" t="str">
        <f t="shared" si="13"/>
        <v>TD 9S</v>
      </c>
      <c r="D405" t="s">
        <v>34</v>
      </c>
      <c r="E405" t="s">
        <v>40</v>
      </c>
      <c r="F405">
        <v>16795671</v>
      </c>
      <c r="G405">
        <v>8394515</v>
      </c>
    </row>
    <row r="406" spans="2:7" x14ac:dyDescent="0.3">
      <c r="B406" t="str">
        <f t="shared" si="12"/>
        <v>T9o</v>
      </c>
      <c r="C406" t="str">
        <f t="shared" si="13"/>
        <v>TH 9C</v>
      </c>
      <c r="D406" t="s">
        <v>35</v>
      </c>
      <c r="E406" t="s">
        <v>37</v>
      </c>
      <c r="F406">
        <v>16787479</v>
      </c>
      <c r="G406">
        <v>8423187</v>
      </c>
    </row>
    <row r="407" spans="2:7" x14ac:dyDescent="0.3">
      <c r="B407" t="str">
        <f t="shared" si="12"/>
        <v>T9o</v>
      </c>
      <c r="C407" t="str">
        <f t="shared" si="13"/>
        <v>TH 9D</v>
      </c>
      <c r="D407" t="s">
        <v>35</v>
      </c>
      <c r="E407" t="s">
        <v>38</v>
      </c>
      <c r="F407">
        <v>16787479</v>
      </c>
      <c r="G407">
        <v>8406803</v>
      </c>
    </row>
    <row r="408" spans="2:7" x14ac:dyDescent="0.3">
      <c r="B408" t="str">
        <f t="shared" si="12"/>
        <v>T9o</v>
      </c>
      <c r="C408" t="str">
        <f t="shared" si="13"/>
        <v>TH 9S</v>
      </c>
      <c r="D408" t="s">
        <v>35</v>
      </c>
      <c r="E408" t="s">
        <v>40</v>
      </c>
      <c r="F408">
        <v>16787479</v>
      </c>
      <c r="G408">
        <v>8394515</v>
      </c>
    </row>
    <row r="409" spans="2:7" x14ac:dyDescent="0.3">
      <c r="B409" t="str">
        <f t="shared" si="12"/>
        <v>T9o</v>
      </c>
      <c r="C409" t="str">
        <f t="shared" si="13"/>
        <v>TS 9C</v>
      </c>
      <c r="D409" t="s">
        <v>36</v>
      </c>
      <c r="E409" t="s">
        <v>37</v>
      </c>
      <c r="F409">
        <v>16783383</v>
      </c>
      <c r="G409">
        <v>8423187</v>
      </c>
    </row>
    <row r="410" spans="2:7" x14ac:dyDescent="0.3">
      <c r="B410" t="str">
        <f t="shared" si="12"/>
        <v>T9o</v>
      </c>
      <c r="C410" t="str">
        <f t="shared" si="13"/>
        <v>TS 9D</v>
      </c>
      <c r="D410" t="s">
        <v>36</v>
      </c>
      <c r="E410" t="s">
        <v>38</v>
      </c>
      <c r="F410">
        <v>16783383</v>
      </c>
      <c r="G410">
        <v>8406803</v>
      </c>
    </row>
    <row r="411" spans="2:7" x14ac:dyDescent="0.3">
      <c r="B411" t="str">
        <f t="shared" si="12"/>
        <v>T9o</v>
      </c>
      <c r="C411" t="str">
        <f t="shared" si="13"/>
        <v>TS 9H</v>
      </c>
      <c r="D411" t="s">
        <v>36</v>
      </c>
      <c r="E411" t="s">
        <v>39</v>
      </c>
      <c r="F411">
        <v>16783383</v>
      </c>
      <c r="G411">
        <v>8398611</v>
      </c>
    </row>
    <row r="412" spans="2:7" x14ac:dyDescent="0.3">
      <c r="B412" t="str">
        <f t="shared" si="12"/>
        <v>99</v>
      </c>
      <c r="C412" t="str">
        <f t="shared" si="13"/>
        <v>9C 9D</v>
      </c>
      <c r="D412" t="s">
        <v>37</v>
      </c>
      <c r="E412" t="s">
        <v>38</v>
      </c>
      <c r="F412">
        <v>8423187</v>
      </c>
      <c r="G412">
        <v>8406803</v>
      </c>
    </row>
    <row r="413" spans="2:7" x14ac:dyDescent="0.3">
      <c r="B413" t="str">
        <f t="shared" si="12"/>
        <v>99</v>
      </c>
      <c r="C413" t="str">
        <f t="shared" si="13"/>
        <v>9C 9H</v>
      </c>
      <c r="D413" t="s">
        <v>37</v>
      </c>
      <c r="E413" t="s">
        <v>39</v>
      </c>
      <c r="F413">
        <v>8423187</v>
      </c>
      <c r="G413">
        <v>8398611</v>
      </c>
    </row>
    <row r="414" spans="2:7" x14ac:dyDescent="0.3">
      <c r="B414" t="str">
        <f t="shared" si="12"/>
        <v>99</v>
      </c>
      <c r="C414" t="str">
        <f t="shared" si="13"/>
        <v>9C 9S</v>
      </c>
      <c r="D414" t="s">
        <v>37</v>
      </c>
      <c r="E414" t="s">
        <v>40</v>
      </c>
      <c r="F414">
        <v>8423187</v>
      </c>
      <c r="G414">
        <v>8394515</v>
      </c>
    </row>
    <row r="415" spans="2:7" x14ac:dyDescent="0.3">
      <c r="B415" t="str">
        <f t="shared" si="12"/>
        <v>99</v>
      </c>
      <c r="C415" t="str">
        <f t="shared" si="13"/>
        <v>9D 9H</v>
      </c>
      <c r="D415" t="s">
        <v>38</v>
      </c>
      <c r="E415" t="s">
        <v>39</v>
      </c>
      <c r="F415">
        <v>8406803</v>
      </c>
      <c r="G415">
        <v>8398611</v>
      </c>
    </row>
    <row r="416" spans="2:7" x14ac:dyDescent="0.3">
      <c r="B416" t="str">
        <f t="shared" si="12"/>
        <v>99</v>
      </c>
      <c r="C416" t="str">
        <f t="shared" si="13"/>
        <v>9D 9S</v>
      </c>
      <c r="D416" t="s">
        <v>38</v>
      </c>
      <c r="E416" t="s">
        <v>40</v>
      </c>
      <c r="F416">
        <v>8406803</v>
      </c>
      <c r="G416">
        <v>8394515</v>
      </c>
    </row>
    <row r="417" spans="2:7" x14ac:dyDescent="0.3">
      <c r="B417" t="str">
        <f t="shared" si="12"/>
        <v>99</v>
      </c>
      <c r="C417" t="str">
        <f t="shared" si="13"/>
        <v>9H 9S</v>
      </c>
      <c r="D417" t="s">
        <v>39</v>
      </c>
      <c r="E417" t="s">
        <v>40</v>
      </c>
      <c r="F417">
        <v>8398611</v>
      </c>
      <c r="G417">
        <v>8394515</v>
      </c>
    </row>
    <row r="418" spans="2:7" x14ac:dyDescent="0.3">
      <c r="B418" t="str">
        <f t="shared" si="12"/>
        <v>98s</v>
      </c>
      <c r="C418" t="str">
        <f t="shared" si="13"/>
        <v>9C 8C</v>
      </c>
      <c r="D418" t="s">
        <v>37</v>
      </c>
      <c r="E418" t="s">
        <v>41</v>
      </c>
      <c r="F418">
        <v>8423187</v>
      </c>
      <c r="G418">
        <v>4228625</v>
      </c>
    </row>
    <row r="419" spans="2:7" x14ac:dyDescent="0.3">
      <c r="B419" t="str">
        <f t="shared" si="12"/>
        <v>98s</v>
      </c>
      <c r="C419" t="str">
        <f t="shared" si="13"/>
        <v>9D 8D</v>
      </c>
      <c r="D419" t="s">
        <v>38</v>
      </c>
      <c r="E419" t="s">
        <v>42</v>
      </c>
      <c r="F419">
        <v>8406803</v>
      </c>
      <c r="G419">
        <v>4212241</v>
      </c>
    </row>
    <row r="420" spans="2:7" x14ac:dyDescent="0.3">
      <c r="B420" t="str">
        <f t="shared" si="12"/>
        <v>98s</v>
      </c>
      <c r="C420" t="str">
        <f t="shared" si="13"/>
        <v>9H 8H</v>
      </c>
      <c r="D420" t="s">
        <v>39</v>
      </c>
      <c r="E420" t="s">
        <v>43</v>
      </c>
      <c r="F420">
        <v>8398611</v>
      </c>
      <c r="G420">
        <v>4204049</v>
      </c>
    </row>
    <row r="421" spans="2:7" x14ac:dyDescent="0.3">
      <c r="B421" t="str">
        <f t="shared" si="12"/>
        <v>98s</v>
      </c>
      <c r="C421" t="str">
        <f t="shared" si="13"/>
        <v>9S 8S</v>
      </c>
      <c r="D421" t="s">
        <v>40</v>
      </c>
      <c r="E421" t="s">
        <v>44</v>
      </c>
      <c r="F421">
        <v>8394515</v>
      </c>
      <c r="G421">
        <v>4199953</v>
      </c>
    </row>
    <row r="422" spans="2:7" x14ac:dyDescent="0.3">
      <c r="B422" t="str">
        <f t="shared" si="12"/>
        <v>97s</v>
      </c>
      <c r="C422" t="str">
        <f t="shared" si="13"/>
        <v>9C 7C</v>
      </c>
      <c r="D422" t="s">
        <v>37</v>
      </c>
      <c r="E422" t="s">
        <v>45</v>
      </c>
      <c r="F422">
        <v>8423187</v>
      </c>
      <c r="G422">
        <v>2131213</v>
      </c>
    </row>
    <row r="423" spans="2:7" x14ac:dyDescent="0.3">
      <c r="B423" t="str">
        <f t="shared" si="12"/>
        <v>97s</v>
      </c>
      <c r="C423" t="str">
        <f t="shared" si="13"/>
        <v>9D 7D</v>
      </c>
      <c r="D423" t="s">
        <v>38</v>
      </c>
      <c r="E423" t="s">
        <v>46</v>
      </c>
      <c r="F423">
        <v>8406803</v>
      </c>
      <c r="G423">
        <v>2114829</v>
      </c>
    </row>
    <row r="424" spans="2:7" x14ac:dyDescent="0.3">
      <c r="B424" t="str">
        <f t="shared" si="12"/>
        <v>97s</v>
      </c>
      <c r="C424" t="str">
        <f t="shared" si="13"/>
        <v>9H 7H</v>
      </c>
      <c r="D424" t="s">
        <v>39</v>
      </c>
      <c r="E424" t="s">
        <v>47</v>
      </c>
      <c r="F424">
        <v>8398611</v>
      </c>
      <c r="G424">
        <v>2106637</v>
      </c>
    </row>
    <row r="425" spans="2:7" x14ac:dyDescent="0.3">
      <c r="B425" t="str">
        <f t="shared" si="12"/>
        <v>97s</v>
      </c>
      <c r="C425" t="str">
        <f t="shared" si="13"/>
        <v>9S 7S</v>
      </c>
      <c r="D425" t="s">
        <v>40</v>
      </c>
      <c r="E425" t="s">
        <v>48</v>
      </c>
      <c r="F425">
        <v>8394515</v>
      </c>
      <c r="G425">
        <v>2102541</v>
      </c>
    </row>
    <row r="426" spans="2:7" x14ac:dyDescent="0.3">
      <c r="B426" t="str">
        <f t="shared" si="12"/>
        <v>96s</v>
      </c>
      <c r="C426" t="str">
        <f t="shared" si="13"/>
        <v>9C 6C</v>
      </c>
      <c r="D426" t="s">
        <v>37</v>
      </c>
      <c r="E426" t="s">
        <v>49</v>
      </c>
      <c r="F426">
        <v>8423187</v>
      </c>
      <c r="G426">
        <v>1082379</v>
      </c>
    </row>
    <row r="427" spans="2:7" x14ac:dyDescent="0.3">
      <c r="B427" t="str">
        <f t="shared" si="12"/>
        <v>96s</v>
      </c>
      <c r="C427" t="str">
        <f t="shared" si="13"/>
        <v>9D 6D</v>
      </c>
      <c r="D427" t="s">
        <v>38</v>
      </c>
      <c r="E427" t="s">
        <v>50</v>
      </c>
      <c r="F427">
        <v>8406803</v>
      </c>
      <c r="G427">
        <v>1065995</v>
      </c>
    </row>
    <row r="428" spans="2:7" x14ac:dyDescent="0.3">
      <c r="B428" t="str">
        <f t="shared" si="12"/>
        <v>96s</v>
      </c>
      <c r="C428" t="str">
        <f t="shared" si="13"/>
        <v>9H 6H</v>
      </c>
      <c r="D428" t="s">
        <v>39</v>
      </c>
      <c r="E428" t="s">
        <v>51</v>
      </c>
      <c r="F428">
        <v>8398611</v>
      </c>
      <c r="G428">
        <v>1057803</v>
      </c>
    </row>
    <row r="429" spans="2:7" x14ac:dyDescent="0.3">
      <c r="B429" t="str">
        <f t="shared" si="12"/>
        <v>96s</v>
      </c>
      <c r="C429" t="str">
        <f t="shared" si="13"/>
        <v>9S 6S</v>
      </c>
      <c r="D429" t="s">
        <v>40</v>
      </c>
      <c r="E429" t="s">
        <v>52</v>
      </c>
      <c r="F429">
        <v>8394515</v>
      </c>
      <c r="G429">
        <v>1053707</v>
      </c>
    </row>
    <row r="430" spans="2:7" x14ac:dyDescent="0.3">
      <c r="B430" t="str">
        <f t="shared" si="12"/>
        <v>95s</v>
      </c>
      <c r="C430" t="str">
        <f t="shared" si="13"/>
        <v>9C 5C</v>
      </c>
      <c r="D430" t="s">
        <v>37</v>
      </c>
      <c r="E430" t="s">
        <v>53</v>
      </c>
      <c r="F430">
        <v>8423187</v>
      </c>
      <c r="G430">
        <v>557831</v>
      </c>
    </row>
    <row r="431" spans="2:7" x14ac:dyDescent="0.3">
      <c r="B431" t="str">
        <f t="shared" si="12"/>
        <v>95s</v>
      </c>
      <c r="C431" t="str">
        <f t="shared" si="13"/>
        <v>9D 5D</v>
      </c>
      <c r="D431" t="s">
        <v>38</v>
      </c>
      <c r="E431" t="s">
        <v>54</v>
      </c>
      <c r="F431">
        <v>8406803</v>
      </c>
      <c r="G431">
        <v>541447</v>
      </c>
    </row>
    <row r="432" spans="2:7" x14ac:dyDescent="0.3">
      <c r="B432" t="str">
        <f t="shared" si="12"/>
        <v>95s</v>
      </c>
      <c r="C432" t="str">
        <f t="shared" si="13"/>
        <v>9H 5H</v>
      </c>
      <c r="D432" t="s">
        <v>39</v>
      </c>
      <c r="E432" t="s">
        <v>55</v>
      </c>
      <c r="F432">
        <v>8398611</v>
      </c>
      <c r="G432">
        <v>533255</v>
      </c>
    </row>
    <row r="433" spans="2:7" x14ac:dyDescent="0.3">
      <c r="B433" t="str">
        <f t="shared" si="12"/>
        <v>95s</v>
      </c>
      <c r="C433" t="str">
        <f t="shared" si="13"/>
        <v>9S 5S</v>
      </c>
      <c r="D433" t="s">
        <v>40</v>
      </c>
      <c r="E433" t="s">
        <v>56</v>
      </c>
      <c r="F433">
        <v>8394515</v>
      </c>
      <c r="G433">
        <v>529159</v>
      </c>
    </row>
    <row r="434" spans="2:7" x14ac:dyDescent="0.3">
      <c r="B434" t="str">
        <f t="shared" si="12"/>
        <v>94s</v>
      </c>
      <c r="C434" t="str">
        <f t="shared" si="13"/>
        <v>9C 4C</v>
      </c>
      <c r="D434" t="s">
        <v>37</v>
      </c>
      <c r="E434" t="s">
        <v>57</v>
      </c>
      <c r="F434">
        <v>8423187</v>
      </c>
      <c r="G434">
        <v>295429</v>
      </c>
    </row>
    <row r="435" spans="2:7" x14ac:dyDescent="0.3">
      <c r="B435" t="str">
        <f t="shared" si="12"/>
        <v>94s</v>
      </c>
      <c r="C435" t="str">
        <f t="shared" si="13"/>
        <v>9D 4D</v>
      </c>
      <c r="D435" t="s">
        <v>38</v>
      </c>
      <c r="E435" t="s">
        <v>58</v>
      </c>
      <c r="F435">
        <v>8406803</v>
      </c>
      <c r="G435">
        <v>279045</v>
      </c>
    </row>
    <row r="436" spans="2:7" x14ac:dyDescent="0.3">
      <c r="B436" t="str">
        <f t="shared" si="12"/>
        <v>94s</v>
      </c>
      <c r="C436" t="str">
        <f t="shared" si="13"/>
        <v>9H 4H</v>
      </c>
      <c r="D436" t="s">
        <v>39</v>
      </c>
      <c r="E436" t="s">
        <v>59</v>
      </c>
      <c r="F436">
        <v>8398611</v>
      </c>
      <c r="G436">
        <v>270853</v>
      </c>
    </row>
    <row r="437" spans="2:7" x14ac:dyDescent="0.3">
      <c r="B437" t="str">
        <f t="shared" si="12"/>
        <v>94s</v>
      </c>
      <c r="C437" t="str">
        <f t="shared" si="13"/>
        <v>9S 4S</v>
      </c>
      <c r="D437" t="s">
        <v>40</v>
      </c>
      <c r="E437" t="s">
        <v>60</v>
      </c>
      <c r="F437">
        <v>8394515</v>
      </c>
      <c r="G437">
        <v>266757</v>
      </c>
    </row>
    <row r="438" spans="2:7" x14ac:dyDescent="0.3">
      <c r="B438" t="str">
        <f t="shared" si="12"/>
        <v>93s</v>
      </c>
      <c r="C438" t="str">
        <f t="shared" si="13"/>
        <v>9C 3C</v>
      </c>
      <c r="D438" t="s">
        <v>37</v>
      </c>
      <c r="E438" t="s">
        <v>61</v>
      </c>
      <c r="F438">
        <v>8423187</v>
      </c>
      <c r="G438">
        <v>164099</v>
      </c>
    </row>
    <row r="439" spans="2:7" x14ac:dyDescent="0.3">
      <c r="B439" t="str">
        <f t="shared" si="12"/>
        <v>93s</v>
      </c>
      <c r="C439" t="str">
        <f t="shared" si="13"/>
        <v>9D 3D</v>
      </c>
      <c r="D439" t="s">
        <v>38</v>
      </c>
      <c r="E439" t="s">
        <v>62</v>
      </c>
      <c r="F439">
        <v>8406803</v>
      </c>
      <c r="G439">
        <v>147715</v>
      </c>
    </row>
    <row r="440" spans="2:7" x14ac:dyDescent="0.3">
      <c r="B440" t="str">
        <f t="shared" si="12"/>
        <v>93s</v>
      </c>
      <c r="C440" t="str">
        <f t="shared" si="13"/>
        <v>9H 3H</v>
      </c>
      <c r="D440" t="s">
        <v>39</v>
      </c>
      <c r="E440" t="s">
        <v>63</v>
      </c>
      <c r="F440">
        <v>8398611</v>
      </c>
      <c r="G440">
        <v>139523</v>
      </c>
    </row>
    <row r="441" spans="2:7" x14ac:dyDescent="0.3">
      <c r="B441" t="str">
        <f t="shared" si="12"/>
        <v>93s</v>
      </c>
      <c r="C441" t="str">
        <f t="shared" si="13"/>
        <v>9S 3S</v>
      </c>
      <c r="D441" t="s">
        <v>40</v>
      </c>
      <c r="E441" t="s">
        <v>64</v>
      </c>
      <c r="F441">
        <v>8394515</v>
      </c>
      <c r="G441">
        <v>135427</v>
      </c>
    </row>
    <row r="442" spans="2:7" x14ac:dyDescent="0.3">
      <c r="B442" t="str">
        <f t="shared" si="12"/>
        <v>92s</v>
      </c>
      <c r="C442" t="str">
        <f t="shared" si="13"/>
        <v>9C 2C</v>
      </c>
      <c r="D442" t="s">
        <v>37</v>
      </c>
      <c r="E442" t="s">
        <v>65</v>
      </c>
      <c r="F442">
        <v>8423187</v>
      </c>
      <c r="G442">
        <v>98306</v>
      </c>
    </row>
    <row r="443" spans="2:7" x14ac:dyDescent="0.3">
      <c r="B443" t="str">
        <f t="shared" si="12"/>
        <v>92s</v>
      </c>
      <c r="C443" t="str">
        <f t="shared" si="13"/>
        <v>9D 2D</v>
      </c>
      <c r="D443" t="s">
        <v>38</v>
      </c>
      <c r="E443" t="s">
        <v>66</v>
      </c>
      <c r="F443">
        <v>8406803</v>
      </c>
      <c r="G443">
        <v>81922</v>
      </c>
    </row>
    <row r="444" spans="2:7" x14ac:dyDescent="0.3">
      <c r="B444" t="str">
        <f t="shared" si="12"/>
        <v>92s</v>
      </c>
      <c r="C444" t="str">
        <f t="shared" si="13"/>
        <v>9H 2H</v>
      </c>
      <c r="D444" t="s">
        <v>39</v>
      </c>
      <c r="E444" t="s">
        <v>67</v>
      </c>
      <c r="F444">
        <v>8398611</v>
      </c>
      <c r="G444">
        <v>73730</v>
      </c>
    </row>
    <row r="445" spans="2:7" x14ac:dyDescent="0.3">
      <c r="B445" t="str">
        <f t="shared" si="12"/>
        <v>92s</v>
      </c>
      <c r="C445" t="str">
        <f t="shared" si="13"/>
        <v>9S 2S</v>
      </c>
      <c r="D445" t="s">
        <v>40</v>
      </c>
      <c r="E445" t="s">
        <v>68</v>
      </c>
      <c r="F445">
        <v>8394515</v>
      </c>
      <c r="G445">
        <v>69634</v>
      </c>
    </row>
    <row r="446" spans="2:7" x14ac:dyDescent="0.3">
      <c r="B446" t="str">
        <f t="shared" si="12"/>
        <v>A8o</v>
      </c>
      <c r="C446" t="str">
        <f t="shared" si="13"/>
        <v>AC 8D</v>
      </c>
      <c r="D446" t="s">
        <v>17</v>
      </c>
      <c r="E446" t="s">
        <v>42</v>
      </c>
      <c r="F446">
        <v>268471337</v>
      </c>
      <c r="G446">
        <v>4212241</v>
      </c>
    </row>
    <row r="447" spans="2:7" x14ac:dyDescent="0.3">
      <c r="B447" t="str">
        <f t="shared" si="12"/>
        <v>A8o</v>
      </c>
      <c r="C447" t="str">
        <f t="shared" si="13"/>
        <v>AC 8H</v>
      </c>
      <c r="D447" t="s">
        <v>17</v>
      </c>
      <c r="E447" t="s">
        <v>43</v>
      </c>
      <c r="F447">
        <v>268471337</v>
      </c>
      <c r="G447">
        <v>4204049</v>
      </c>
    </row>
    <row r="448" spans="2:7" x14ac:dyDescent="0.3">
      <c r="B448" t="str">
        <f t="shared" si="12"/>
        <v>A8o</v>
      </c>
      <c r="C448" t="str">
        <f t="shared" si="13"/>
        <v>AC 8S</v>
      </c>
      <c r="D448" t="s">
        <v>17</v>
      </c>
      <c r="E448" t="s">
        <v>44</v>
      </c>
      <c r="F448">
        <v>268471337</v>
      </c>
      <c r="G448">
        <v>4199953</v>
      </c>
    </row>
    <row r="449" spans="2:7" x14ac:dyDescent="0.3">
      <c r="B449" t="str">
        <f t="shared" si="12"/>
        <v>A8o</v>
      </c>
      <c r="C449" t="str">
        <f t="shared" si="13"/>
        <v>AD 8C</v>
      </c>
      <c r="D449" t="s">
        <v>18</v>
      </c>
      <c r="E449" t="s">
        <v>41</v>
      </c>
      <c r="F449">
        <v>268454953</v>
      </c>
      <c r="G449">
        <v>4228625</v>
      </c>
    </row>
    <row r="450" spans="2:7" x14ac:dyDescent="0.3">
      <c r="B450" t="str">
        <f t="shared" si="12"/>
        <v>A8o</v>
      </c>
      <c r="C450" t="str">
        <f t="shared" si="13"/>
        <v>AD 8H</v>
      </c>
      <c r="D450" t="s">
        <v>18</v>
      </c>
      <c r="E450" t="s">
        <v>43</v>
      </c>
      <c r="F450">
        <v>268454953</v>
      </c>
      <c r="G450">
        <v>4204049</v>
      </c>
    </row>
    <row r="451" spans="2:7" x14ac:dyDescent="0.3">
      <c r="B451" t="str">
        <f t="shared" ref="B451:B514" si="14">LEFT(D451,1)&amp;LEFT(E451,1)&amp;IF(LEFT(D451,1)=LEFT(E451,1), "", IF(RIGHT(D451,1)=RIGHT(E451,1), "s", "o"))</f>
        <v>A8o</v>
      </c>
      <c r="C451" t="str">
        <f t="shared" ref="C451:C514" si="15">UPPER(D451&amp;" "&amp;E451)</f>
        <v>AD 8S</v>
      </c>
      <c r="D451" t="s">
        <v>18</v>
      </c>
      <c r="E451" t="s">
        <v>44</v>
      </c>
      <c r="F451">
        <v>268454953</v>
      </c>
      <c r="G451">
        <v>4199953</v>
      </c>
    </row>
    <row r="452" spans="2:7" x14ac:dyDescent="0.3">
      <c r="B452" t="str">
        <f t="shared" si="14"/>
        <v>A8o</v>
      </c>
      <c r="C452" t="str">
        <f t="shared" si="15"/>
        <v>AH 8C</v>
      </c>
      <c r="D452" t="s">
        <v>19</v>
      </c>
      <c r="E452" t="s">
        <v>41</v>
      </c>
      <c r="F452">
        <v>268446761</v>
      </c>
      <c r="G452">
        <v>4228625</v>
      </c>
    </row>
    <row r="453" spans="2:7" x14ac:dyDescent="0.3">
      <c r="B453" t="str">
        <f t="shared" si="14"/>
        <v>A8o</v>
      </c>
      <c r="C453" t="str">
        <f t="shared" si="15"/>
        <v>AH 8D</v>
      </c>
      <c r="D453" t="s">
        <v>19</v>
      </c>
      <c r="E453" t="s">
        <v>42</v>
      </c>
      <c r="F453">
        <v>268446761</v>
      </c>
      <c r="G453">
        <v>4212241</v>
      </c>
    </row>
    <row r="454" spans="2:7" x14ac:dyDescent="0.3">
      <c r="B454" t="str">
        <f t="shared" si="14"/>
        <v>A8o</v>
      </c>
      <c r="C454" t="str">
        <f t="shared" si="15"/>
        <v>AH 8S</v>
      </c>
      <c r="D454" t="s">
        <v>19</v>
      </c>
      <c r="E454" t="s">
        <v>44</v>
      </c>
      <c r="F454">
        <v>268446761</v>
      </c>
      <c r="G454">
        <v>4199953</v>
      </c>
    </row>
    <row r="455" spans="2:7" x14ac:dyDescent="0.3">
      <c r="B455" t="str">
        <f t="shared" si="14"/>
        <v>A8o</v>
      </c>
      <c r="C455" t="str">
        <f t="shared" si="15"/>
        <v>AS 8C</v>
      </c>
      <c r="D455" t="s">
        <v>20</v>
      </c>
      <c r="E455" t="s">
        <v>41</v>
      </c>
      <c r="F455">
        <v>268442665</v>
      </c>
      <c r="G455">
        <v>4228625</v>
      </c>
    </row>
    <row r="456" spans="2:7" x14ac:dyDescent="0.3">
      <c r="B456" t="str">
        <f t="shared" si="14"/>
        <v>A8o</v>
      </c>
      <c r="C456" t="str">
        <f t="shared" si="15"/>
        <v>AS 8D</v>
      </c>
      <c r="D456" t="s">
        <v>20</v>
      </c>
      <c r="E456" t="s">
        <v>42</v>
      </c>
      <c r="F456">
        <v>268442665</v>
      </c>
      <c r="G456">
        <v>4212241</v>
      </c>
    </row>
    <row r="457" spans="2:7" x14ac:dyDescent="0.3">
      <c r="B457" t="str">
        <f t="shared" si="14"/>
        <v>A8o</v>
      </c>
      <c r="C457" t="str">
        <f t="shared" si="15"/>
        <v>AS 8H</v>
      </c>
      <c r="D457" t="s">
        <v>20</v>
      </c>
      <c r="E457" t="s">
        <v>43</v>
      </c>
      <c r="F457">
        <v>268442665</v>
      </c>
      <c r="G457">
        <v>4204049</v>
      </c>
    </row>
    <row r="458" spans="2:7" x14ac:dyDescent="0.3">
      <c r="B458" t="str">
        <f t="shared" si="14"/>
        <v>K8o</v>
      </c>
      <c r="C458" t="str">
        <f t="shared" si="15"/>
        <v>KC 8D</v>
      </c>
      <c r="D458" t="s">
        <v>21</v>
      </c>
      <c r="E458" t="s">
        <v>42</v>
      </c>
      <c r="F458">
        <v>134253349</v>
      </c>
      <c r="G458">
        <v>4212241</v>
      </c>
    </row>
    <row r="459" spans="2:7" x14ac:dyDescent="0.3">
      <c r="B459" t="str">
        <f t="shared" si="14"/>
        <v>K8o</v>
      </c>
      <c r="C459" t="str">
        <f t="shared" si="15"/>
        <v>KC 8H</v>
      </c>
      <c r="D459" t="s">
        <v>21</v>
      </c>
      <c r="E459" t="s">
        <v>43</v>
      </c>
      <c r="F459">
        <v>134253349</v>
      </c>
      <c r="G459">
        <v>4204049</v>
      </c>
    </row>
    <row r="460" spans="2:7" x14ac:dyDescent="0.3">
      <c r="B460" t="str">
        <f t="shared" si="14"/>
        <v>K8o</v>
      </c>
      <c r="C460" t="str">
        <f t="shared" si="15"/>
        <v>KC 8S</v>
      </c>
      <c r="D460" t="s">
        <v>21</v>
      </c>
      <c r="E460" t="s">
        <v>44</v>
      </c>
      <c r="F460">
        <v>134253349</v>
      </c>
      <c r="G460">
        <v>4199953</v>
      </c>
    </row>
    <row r="461" spans="2:7" x14ac:dyDescent="0.3">
      <c r="B461" t="str">
        <f t="shared" si="14"/>
        <v>K8o</v>
      </c>
      <c r="C461" t="str">
        <f t="shared" si="15"/>
        <v>KD 8C</v>
      </c>
      <c r="D461" t="s">
        <v>22</v>
      </c>
      <c r="E461" t="s">
        <v>41</v>
      </c>
      <c r="F461">
        <v>134236965</v>
      </c>
      <c r="G461">
        <v>4228625</v>
      </c>
    </row>
    <row r="462" spans="2:7" x14ac:dyDescent="0.3">
      <c r="B462" t="str">
        <f t="shared" si="14"/>
        <v>K8o</v>
      </c>
      <c r="C462" t="str">
        <f t="shared" si="15"/>
        <v>KD 8H</v>
      </c>
      <c r="D462" t="s">
        <v>22</v>
      </c>
      <c r="E462" t="s">
        <v>43</v>
      </c>
      <c r="F462">
        <v>134236965</v>
      </c>
      <c r="G462">
        <v>4204049</v>
      </c>
    </row>
    <row r="463" spans="2:7" x14ac:dyDescent="0.3">
      <c r="B463" t="str">
        <f t="shared" si="14"/>
        <v>K8o</v>
      </c>
      <c r="C463" t="str">
        <f t="shared" si="15"/>
        <v>KD 8S</v>
      </c>
      <c r="D463" t="s">
        <v>22</v>
      </c>
      <c r="E463" t="s">
        <v>44</v>
      </c>
      <c r="F463">
        <v>134236965</v>
      </c>
      <c r="G463">
        <v>4199953</v>
      </c>
    </row>
    <row r="464" spans="2:7" x14ac:dyDescent="0.3">
      <c r="B464" t="str">
        <f t="shared" si="14"/>
        <v>K8o</v>
      </c>
      <c r="C464" t="str">
        <f t="shared" si="15"/>
        <v>KH 8C</v>
      </c>
      <c r="D464" t="s">
        <v>23</v>
      </c>
      <c r="E464" t="s">
        <v>41</v>
      </c>
      <c r="F464">
        <v>134228773</v>
      </c>
      <c r="G464">
        <v>4228625</v>
      </c>
    </row>
    <row r="465" spans="2:7" x14ac:dyDescent="0.3">
      <c r="B465" t="str">
        <f t="shared" si="14"/>
        <v>K8o</v>
      </c>
      <c r="C465" t="str">
        <f t="shared" si="15"/>
        <v>KH 8D</v>
      </c>
      <c r="D465" t="s">
        <v>23</v>
      </c>
      <c r="E465" t="s">
        <v>42</v>
      </c>
      <c r="F465">
        <v>134228773</v>
      </c>
      <c r="G465">
        <v>4212241</v>
      </c>
    </row>
    <row r="466" spans="2:7" x14ac:dyDescent="0.3">
      <c r="B466" t="str">
        <f t="shared" si="14"/>
        <v>K8o</v>
      </c>
      <c r="C466" t="str">
        <f t="shared" si="15"/>
        <v>KH 8S</v>
      </c>
      <c r="D466" t="s">
        <v>23</v>
      </c>
      <c r="E466" t="s">
        <v>44</v>
      </c>
      <c r="F466">
        <v>134228773</v>
      </c>
      <c r="G466">
        <v>4199953</v>
      </c>
    </row>
    <row r="467" spans="2:7" x14ac:dyDescent="0.3">
      <c r="B467" t="str">
        <f t="shared" si="14"/>
        <v>K8o</v>
      </c>
      <c r="C467" t="str">
        <f t="shared" si="15"/>
        <v>KS 8C</v>
      </c>
      <c r="D467" t="s">
        <v>24</v>
      </c>
      <c r="E467" t="s">
        <v>41</v>
      </c>
      <c r="F467">
        <v>134224677</v>
      </c>
      <c r="G467">
        <v>4228625</v>
      </c>
    </row>
    <row r="468" spans="2:7" x14ac:dyDescent="0.3">
      <c r="B468" t="str">
        <f t="shared" si="14"/>
        <v>K8o</v>
      </c>
      <c r="C468" t="str">
        <f t="shared" si="15"/>
        <v>KS 8D</v>
      </c>
      <c r="D468" t="s">
        <v>24</v>
      </c>
      <c r="E468" t="s">
        <v>42</v>
      </c>
      <c r="F468">
        <v>134224677</v>
      </c>
      <c r="G468">
        <v>4212241</v>
      </c>
    </row>
    <row r="469" spans="2:7" x14ac:dyDescent="0.3">
      <c r="B469" t="str">
        <f t="shared" si="14"/>
        <v>K8o</v>
      </c>
      <c r="C469" t="str">
        <f t="shared" si="15"/>
        <v>KS 8H</v>
      </c>
      <c r="D469" t="s">
        <v>24</v>
      </c>
      <c r="E469" t="s">
        <v>43</v>
      </c>
      <c r="F469">
        <v>134224677</v>
      </c>
      <c r="G469">
        <v>4204049</v>
      </c>
    </row>
    <row r="470" spans="2:7" x14ac:dyDescent="0.3">
      <c r="B470" t="str">
        <f t="shared" si="14"/>
        <v>Q8o</v>
      </c>
      <c r="C470" t="str">
        <f t="shared" si="15"/>
        <v>QC 8D</v>
      </c>
      <c r="D470" t="s">
        <v>25</v>
      </c>
      <c r="E470" t="s">
        <v>42</v>
      </c>
      <c r="F470">
        <v>67144223</v>
      </c>
      <c r="G470">
        <v>4212241</v>
      </c>
    </row>
    <row r="471" spans="2:7" x14ac:dyDescent="0.3">
      <c r="B471" t="str">
        <f t="shared" si="14"/>
        <v>Q8o</v>
      </c>
      <c r="C471" t="str">
        <f t="shared" si="15"/>
        <v>QC 8H</v>
      </c>
      <c r="D471" t="s">
        <v>25</v>
      </c>
      <c r="E471" t="s">
        <v>43</v>
      </c>
      <c r="F471">
        <v>67144223</v>
      </c>
      <c r="G471">
        <v>4204049</v>
      </c>
    </row>
    <row r="472" spans="2:7" x14ac:dyDescent="0.3">
      <c r="B472" t="str">
        <f t="shared" si="14"/>
        <v>Q8o</v>
      </c>
      <c r="C472" t="str">
        <f t="shared" si="15"/>
        <v>QC 8S</v>
      </c>
      <c r="D472" t="s">
        <v>25</v>
      </c>
      <c r="E472" t="s">
        <v>44</v>
      </c>
      <c r="F472">
        <v>67144223</v>
      </c>
      <c r="G472">
        <v>4199953</v>
      </c>
    </row>
    <row r="473" spans="2:7" x14ac:dyDescent="0.3">
      <c r="B473" t="str">
        <f t="shared" si="14"/>
        <v>Q8o</v>
      </c>
      <c r="C473" t="str">
        <f t="shared" si="15"/>
        <v>QD 8C</v>
      </c>
      <c r="D473" t="s">
        <v>26</v>
      </c>
      <c r="E473" t="s">
        <v>41</v>
      </c>
      <c r="F473">
        <v>67127839</v>
      </c>
      <c r="G473">
        <v>4228625</v>
      </c>
    </row>
    <row r="474" spans="2:7" x14ac:dyDescent="0.3">
      <c r="B474" t="str">
        <f t="shared" si="14"/>
        <v>Q8o</v>
      </c>
      <c r="C474" t="str">
        <f t="shared" si="15"/>
        <v>QD 8H</v>
      </c>
      <c r="D474" t="s">
        <v>26</v>
      </c>
      <c r="E474" t="s">
        <v>43</v>
      </c>
      <c r="F474">
        <v>67127839</v>
      </c>
      <c r="G474">
        <v>4204049</v>
      </c>
    </row>
    <row r="475" spans="2:7" x14ac:dyDescent="0.3">
      <c r="B475" t="str">
        <f t="shared" si="14"/>
        <v>Q8o</v>
      </c>
      <c r="C475" t="str">
        <f t="shared" si="15"/>
        <v>QD 8S</v>
      </c>
      <c r="D475" t="s">
        <v>26</v>
      </c>
      <c r="E475" t="s">
        <v>44</v>
      </c>
      <c r="F475">
        <v>67127839</v>
      </c>
      <c r="G475">
        <v>4199953</v>
      </c>
    </row>
    <row r="476" spans="2:7" x14ac:dyDescent="0.3">
      <c r="B476" t="str">
        <f t="shared" si="14"/>
        <v>Q8o</v>
      </c>
      <c r="C476" t="str">
        <f t="shared" si="15"/>
        <v>QH 8C</v>
      </c>
      <c r="D476" t="s">
        <v>27</v>
      </c>
      <c r="E476" t="s">
        <v>41</v>
      </c>
      <c r="F476">
        <v>67119647</v>
      </c>
      <c r="G476">
        <v>4228625</v>
      </c>
    </row>
    <row r="477" spans="2:7" x14ac:dyDescent="0.3">
      <c r="B477" t="str">
        <f t="shared" si="14"/>
        <v>Q8o</v>
      </c>
      <c r="C477" t="str">
        <f t="shared" si="15"/>
        <v>QH 8D</v>
      </c>
      <c r="D477" t="s">
        <v>27</v>
      </c>
      <c r="E477" t="s">
        <v>42</v>
      </c>
      <c r="F477">
        <v>67119647</v>
      </c>
      <c r="G477">
        <v>4212241</v>
      </c>
    </row>
    <row r="478" spans="2:7" x14ac:dyDescent="0.3">
      <c r="B478" t="str">
        <f t="shared" si="14"/>
        <v>Q8o</v>
      </c>
      <c r="C478" t="str">
        <f t="shared" si="15"/>
        <v>QH 8S</v>
      </c>
      <c r="D478" t="s">
        <v>27</v>
      </c>
      <c r="E478" t="s">
        <v>44</v>
      </c>
      <c r="F478">
        <v>67119647</v>
      </c>
      <c r="G478">
        <v>4199953</v>
      </c>
    </row>
    <row r="479" spans="2:7" x14ac:dyDescent="0.3">
      <c r="B479" t="str">
        <f t="shared" si="14"/>
        <v>Q8o</v>
      </c>
      <c r="C479" t="str">
        <f t="shared" si="15"/>
        <v>QS 8C</v>
      </c>
      <c r="D479" t="s">
        <v>28</v>
      </c>
      <c r="E479" t="s">
        <v>41</v>
      </c>
      <c r="F479">
        <v>67115551</v>
      </c>
      <c r="G479">
        <v>4228625</v>
      </c>
    </row>
    <row r="480" spans="2:7" x14ac:dyDescent="0.3">
      <c r="B480" t="str">
        <f t="shared" si="14"/>
        <v>Q8o</v>
      </c>
      <c r="C480" t="str">
        <f t="shared" si="15"/>
        <v>QS 8D</v>
      </c>
      <c r="D480" t="s">
        <v>28</v>
      </c>
      <c r="E480" t="s">
        <v>42</v>
      </c>
      <c r="F480">
        <v>67115551</v>
      </c>
      <c r="G480">
        <v>4212241</v>
      </c>
    </row>
    <row r="481" spans="2:7" x14ac:dyDescent="0.3">
      <c r="B481" t="str">
        <f t="shared" si="14"/>
        <v>Q8o</v>
      </c>
      <c r="C481" t="str">
        <f t="shared" si="15"/>
        <v>QS 8H</v>
      </c>
      <c r="D481" t="s">
        <v>28</v>
      </c>
      <c r="E481" t="s">
        <v>43</v>
      </c>
      <c r="F481">
        <v>67115551</v>
      </c>
      <c r="G481">
        <v>4204049</v>
      </c>
    </row>
    <row r="482" spans="2:7" x14ac:dyDescent="0.3">
      <c r="B482" t="str">
        <f t="shared" si="14"/>
        <v>J8o</v>
      </c>
      <c r="C482" t="str">
        <f t="shared" si="15"/>
        <v>JC 8D</v>
      </c>
      <c r="D482" t="s">
        <v>29</v>
      </c>
      <c r="E482" t="s">
        <v>42</v>
      </c>
      <c r="F482">
        <v>33589533</v>
      </c>
      <c r="G482">
        <v>4212241</v>
      </c>
    </row>
    <row r="483" spans="2:7" x14ac:dyDescent="0.3">
      <c r="B483" t="str">
        <f t="shared" si="14"/>
        <v>J8o</v>
      </c>
      <c r="C483" t="str">
        <f t="shared" si="15"/>
        <v>JC 8H</v>
      </c>
      <c r="D483" t="s">
        <v>29</v>
      </c>
      <c r="E483" t="s">
        <v>43</v>
      </c>
      <c r="F483">
        <v>33589533</v>
      </c>
      <c r="G483">
        <v>4204049</v>
      </c>
    </row>
    <row r="484" spans="2:7" x14ac:dyDescent="0.3">
      <c r="B484" t="str">
        <f t="shared" si="14"/>
        <v>J8o</v>
      </c>
      <c r="C484" t="str">
        <f t="shared" si="15"/>
        <v>JC 8S</v>
      </c>
      <c r="D484" t="s">
        <v>29</v>
      </c>
      <c r="E484" t="s">
        <v>44</v>
      </c>
      <c r="F484">
        <v>33589533</v>
      </c>
      <c r="G484">
        <v>4199953</v>
      </c>
    </row>
    <row r="485" spans="2:7" x14ac:dyDescent="0.3">
      <c r="B485" t="str">
        <f t="shared" si="14"/>
        <v>J8o</v>
      </c>
      <c r="C485" t="str">
        <f t="shared" si="15"/>
        <v>JD 8C</v>
      </c>
      <c r="D485" t="s">
        <v>30</v>
      </c>
      <c r="E485" t="s">
        <v>41</v>
      </c>
      <c r="F485">
        <v>33573149</v>
      </c>
      <c r="G485">
        <v>4228625</v>
      </c>
    </row>
    <row r="486" spans="2:7" x14ac:dyDescent="0.3">
      <c r="B486" t="str">
        <f t="shared" si="14"/>
        <v>J8o</v>
      </c>
      <c r="C486" t="str">
        <f t="shared" si="15"/>
        <v>JD 8H</v>
      </c>
      <c r="D486" t="s">
        <v>30</v>
      </c>
      <c r="E486" t="s">
        <v>43</v>
      </c>
      <c r="F486">
        <v>33573149</v>
      </c>
      <c r="G486">
        <v>4204049</v>
      </c>
    </row>
    <row r="487" spans="2:7" x14ac:dyDescent="0.3">
      <c r="B487" t="str">
        <f t="shared" si="14"/>
        <v>J8o</v>
      </c>
      <c r="C487" t="str">
        <f t="shared" si="15"/>
        <v>JD 8S</v>
      </c>
      <c r="D487" t="s">
        <v>30</v>
      </c>
      <c r="E487" t="s">
        <v>44</v>
      </c>
      <c r="F487">
        <v>33573149</v>
      </c>
      <c r="G487">
        <v>4199953</v>
      </c>
    </row>
    <row r="488" spans="2:7" x14ac:dyDescent="0.3">
      <c r="B488" t="str">
        <f t="shared" si="14"/>
        <v>J8o</v>
      </c>
      <c r="C488" t="str">
        <f t="shared" si="15"/>
        <v>JH 8C</v>
      </c>
      <c r="D488" t="s">
        <v>31</v>
      </c>
      <c r="E488" t="s">
        <v>41</v>
      </c>
      <c r="F488">
        <v>33564957</v>
      </c>
      <c r="G488">
        <v>4228625</v>
      </c>
    </row>
    <row r="489" spans="2:7" x14ac:dyDescent="0.3">
      <c r="B489" t="str">
        <f t="shared" si="14"/>
        <v>J8o</v>
      </c>
      <c r="C489" t="str">
        <f t="shared" si="15"/>
        <v>JH 8D</v>
      </c>
      <c r="D489" t="s">
        <v>31</v>
      </c>
      <c r="E489" t="s">
        <v>42</v>
      </c>
      <c r="F489">
        <v>33564957</v>
      </c>
      <c r="G489">
        <v>4212241</v>
      </c>
    </row>
    <row r="490" spans="2:7" x14ac:dyDescent="0.3">
      <c r="B490" t="str">
        <f t="shared" si="14"/>
        <v>J8o</v>
      </c>
      <c r="C490" t="str">
        <f t="shared" si="15"/>
        <v>JH 8S</v>
      </c>
      <c r="D490" t="s">
        <v>31</v>
      </c>
      <c r="E490" t="s">
        <v>44</v>
      </c>
      <c r="F490">
        <v>33564957</v>
      </c>
      <c r="G490">
        <v>4199953</v>
      </c>
    </row>
    <row r="491" spans="2:7" x14ac:dyDescent="0.3">
      <c r="B491" t="str">
        <f t="shared" si="14"/>
        <v>J8o</v>
      </c>
      <c r="C491" t="str">
        <f t="shared" si="15"/>
        <v>JS 8C</v>
      </c>
      <c r="D491" t="s">
        <v>32</v>
      </c>
      <c r="E491" t="s">
        <v>41</v>
      </c>
      <c r="F491">
        <v>33560861</v>
      </c>
      <c r="G491">
        <v>4228625</v>
      </c>
    </row>
    <row r="492" spans="2:7" x14ac:dyDescent="0.3">
      <c r="B492" t="str">
        <f t="shared" si="14"/>
        <v>J8o</v>
      </c>
      <c r="C492" t="str">
        <f t="shared" si="15"/>
        <v>JS 8D</v>
      </c>
      <c r="D492" t="s">
        <v>32</v>
      </c>
      <c r="E492" t="s">
        <v>42</v>
      </c>
      <c r="F492">
        <v>33560861</v>
      </c>
      <c r="G492">
        <v>4212241</v>
      </c>
    </row>
    <row r="493" spans="2:7" x14ac:dyDescent="0.3">
      <c r="B493" t="str">
        <f t="shared" si="14"/>
        <v>J8o</v>
      </c>
      <c r="C493" t="str">
        <f t="shared" si="15"/>
        <v>JS 8H</v>
      </c>
      <c r="D493" t="s">
        <v>32</v>
      </c>
      <c r="E493" t="s">
        <v>43</v>
      </c>
      <c r="F493">
        <v>33560861</v>
      </c>
      <c r="G493">
        <v>4204049</v>
      </c>
    </row>
    <row r="494" spans="2:7" x14ac:dyDescent="0.3">
      <c r="B494" t="str">
        <f t="shared" si="14"/>
        <v>T8o</v>
      </c>
      <c r="C494" t="str">
        <f t="shared" si="15"/>
        <v>TC 8D</v>
      </c>
      <c r="D494" t="s">
        <v>33</v>
      </c>
      <c r="E494" t="s">
        <v>42</v>
      </c>
      <c r="F494">
        <v>16812055</v>
      </c>
      <c r="G494">
        <v>4212241</v>
      </c>
    </row>
    <row r="495" spans="2:7" x14ac:dyDescent="0.3">
      <c r="B495" t="str">
        <f t="shared" si="14"/>
        <v>T8o</v>
      </c>
      <c r="C495" t="str">
        <f t="shared" si="15"/>
        <v>TC 8H</v>
      </c>
      <c r="D495" t="s">
        <v>33</v>
      </c>
      <c r="E495" t="s">
        <v>43</v>
      </c>
      <c r="F495">
        <v>16812055</v>
      </c>
      <c r="G495">
        <v>4204049</v>
      </c>
    </row>
    <row r="496" spans="2:7" x14ac:dyDescent="0.3">
      <c r="B496" t="str">
        <f t="shared" si="14"/>
        <v>T8o</v>
      </c>
      <c r="C496" t="str">
        <f t="shared" si="15"/>
        <v>TC 8S</v>
      </c>
      <c r="D496" t="s">
        <v>33</v>
      </c>
      <c r="E496" t="s">
        <v>44</v>
      </c>
      <c r="F496">
        <v>16812055</v>
      </c>
      <c r="G496">
        <v>4199953</v>
      </c>
    </row>
    <row r="497" spans="2:7" x14ac:dyDescent="0.3">
      <c r="B497" t="str">
        <f t="shared" si="14"/>
        <v>T8o</v>
      </c>
      <c r="C497" t="str">
        <f t="shared" si="15"/>
        <v>TD 8C</v>
      </c>
      <c r="D497" t="s">
        <v>34</v>
      </c>
      <c r="E497" t="s">
        <v>41</v>
      </c>
      <c r="F497">
        <v>16795671</v>
      </c>
      <c r="G497">
        <v>4228625</v>
      </c>
    </row>
    <row r="498" spans="2:7" x14ac:dyDescent="0.3">
      <c r="B498" t="str">
        <f t="shared" si="14"/>
        <v>T8o</v>
      </c>
      <c r="C498" t="str">
        <f t="shared" si="15"/>
        <v>TD 8H</v>
      </c>
      <c r="D498" t="s">
        <v>34</v>
      </c>
      <c r="E498" t="s">
        <v>43</v>
      </c>
      <c r="F498">
        <v>16795671</v>
      </c>
      <c r="G498">
        <v>4204049</v>
      </c>
    </row>
    <row r="499" spans="2:7" x14ac:dyDescent="0.3">
      <c r="B499" t="str">
        <f t="shared" si="14"/>
        <v>T8o</v>
      </c>
      <c r="C499" t="str">
        <f t="shared" si="15"/>
        <v>TD 8S</v>
      </c>
      <c r="D499" t="s">
        <v>34</v>
      </c>
      <c r="E499" t="s">
        <v>44</v>
      </c>
      <c r="F499">
        <v>16795671</v>
      </c>
      <c r="G499">
        <v>4199953</v>
      </c>
    </row>
    <row r="500" spans="2:7" x14ac:dyDescent="0.3">
      <c r="B500" t="str">
        <f t="shared" si="14"/>
        <v>T8o</v>
      </c>
      <c r="C500" t="str">
        <f t="shared" si="15"/>
        <v>TH 8C</v>
      </c>
      <c r="D500" t="s">
        <v>35</v>
      </c>
      <c r="E500" t="s">
        <v>41</v>
      </c>
      <c r="F500">
        <v>16787479</v>
      </c>
      <c r="G500">
        <v>4228625</v>
      </c>
    </row>
    <row r="501" spans="2:7" x14ac:dyDescent="0.3">
      <c r="B501" t="str">
        <f t="shared" si="14"/>
        <v>T8o</v>
      </c>
      <c r="C501" t="str">
        <f t="shared" si="15"/>
        <v>TH 8D</v>
      </c>
      <c r="D501" t="s">
        <v>35</v>
      </c>
      <c r="E501" t="s">
        <v>42</v>
      </c>
      <c r="F501">
        <v>16787479</v>
      </c>
      <c r="G501">
        <v>4212241</v>
      </c>
    </row>
    <row r="502" spans="2:7" x14ac:dyDescent="0.3">
      <c r="B502" t="str">
        <f t="shared" si="14"/>
        <v>T8o</v>
      </c>
      <c r="C502" t="str">
        <f t="shared" si="15"/>
        <v>TH 8S</v>
      </c>
      <c r="D502" t="s">
        <v>35</v>
      </c>
      <c r="E502" t="s">
        <v>44</v>
      </c>
      <c r="F502">
        <v>16787479</v>
      </c>
      <c r="G502">
        <v>4199953</v>
      </c>
    </row>
    <row r="503" spans="2:7" x14ac:dyDescent="0.3">
      <c r="B503" t="str">
        <f t="shared" si="14"/>
        <v>T8o</v>
      </c>
      <c r="C503" t="str">
        <f t="shared" si="15"/>
        <v>TS 8C</v>
      </c>
      <c r="D503" t="s">
        <v>36</v>
      </c>
      <c r="E503" t="s">
        <v>41</v>
      </c>
      <c r="F503">
        <v>16783383</v>
      </c>
      <c r="G503">
        <v>4228625</v>
      </c>
    </row>
    <row r="504" spans="2:7" x14ac:dyDescent="0.3">
      <c r="B504" t="str">
        <f t="shared" si="14"/>
        <v>T8o</v>
      </c>
      <c r="C504" t="str">
        <f t="shared" si="15"/>
        <v>TS 8D</v>
      </c>
      <c r="D504" t="s">
        <v>36</v>
      </c>
      <c r="E504" t="s">
        <v>42</v>
      </c>
      <c r="F504">
        <v>16783383</v>
      </c>
      <c r="G504">
        <v>4212241</v>
      </c>
    </row>
    <row r="505" spans="2:7" x14ac:dyDescent="0.3">
      <c r="B505" t="str">
        <f t="shared" si="14"/>
        <v>T8o</v>
      </c>
      <c r="C505" t="str">
        <f t="shared" si="15"/>
        <v>TS 8H</v>
      </c>
      <c r="D505" t="s">
        <v>36</v>
      </c>
      <c r="E505" t="s">
        <v>43</v>
      </c>
      <c r="F505">
        <v>16783383</v>
      </c>
      <c r="G505">
        <v>4204049</v>
      </c>
    </row>
    <row r="506" spans="2:7" x14ac:dyDescent="0.3">
      <c r="B506" t="str">
        <f t="shared" si="14"/>
        <v>98o</v>
      </c>
      <c r="C506" t="str">
        <f t="shared" si="15"/>
        <v>9C 8D</v>
      </c>
      <c r="D506" t="s">
        <v>37</v>
      </c>
      <c r="E506" t="s">
        <v>42</v>
      </c>
      <c r="F506">
        <v>8423187</v>
      </c>
      <c r="G506">
        <v>4212241</v>
      </c>
    </row>
    <row r="507" spans="2:7" x14ac:dyDescent="0.3">
      <c r="B507" t="str">
        <f t="shared" si="14"/>
        <v>98o</v>
      </c>
      <c r="C507" t="str">
        <f t="shared" si="15"/>
        <v>9C 8H</v>
      </c>
      <c r="D507" t="s">
        <v>37</v>
      </c>
      <c r="E507" t="s">
        <v>43</v>
      </c>
      <c r="F507">
        <v>8423187</v>
      </c>
      <c r="G507">
        <v>4204049</v>
      </c>
    </row>
    <row r="508" spans="2:7" x14ac:dyDescent="0.3">
      <c r="B508" t="str">
        <f t="shared" si="14"/>
        <v>98o</v>
      </c>
      <c r="C508" t="str">
        <f t="shared" si="15"/>
        <v>9C 8S</v>
      </c>
      <c r="D508" t="s">
        <v>37</v>
      </c>
      <c r="E508" t="s">
        <v>44</v>
      </c>
      <c r="F508">
        <v>8423187</v>
      </c>
      <c r="G508">
        <v>4199953</v>
      </c>
    </row>
    <row r="509" spans="2:7" x14ac:dyDescent="0.3">
      <c r="B509" t="str">
        <f t="shared" si="14"/>
        <v>98o</v>
      </c>
      <c r="C509" t="str">
        <f t="shared" si="15"/>
        <v>9D 8C</v>
      </c>
      <c r="D509" t="s">
        <v>38</v>
      </c>
      <c r="E509" t="s">
        <v>41</v>
      </c>
      <c r="F509">
        <v>8406803</v>
      </c>
      <c r="G509">
        <v>4228625</v>
      </c>
    </row>
    <row r="510" spans="2:7" x14ac:dyDescent="0.3">
      <c r="B510" t="str">
        <f t="shared" si="14"/>
        <v>98o</v>
      </c>
      <c r="C510" t="str">
        <f t="shared" si="15"/>
        <v>9D 8H</v>
      </c>
      <c r="D510" t="s">
        <v>38</v>
      </c>
      <c r="E510" t="s">
        <v>43</v>
      </c>
      <c r="F510">
        <v>8406803</v>
      </c>
      <c r="G510">
        <v>4204049</v>
      </c>
    </row>
    <row r="511" spans="2:7" x14ac:dyDescent="0.3">
      <c r="B511" t="str">
        <f t="shared" si="14"/>
        <v>98o</v>
      </c>
      <c r="C511" t="str">
        <f t="shared" si="15"/>
        <v>9D 8S</v>
      </c>
      <c r="D511" t="s">
        <v>38</v>
      </c>
      <c r="E511" t="s">
        <v>44</v>
      </c>
      <c r="F511">
        <v>8406803</v>
      </c>
      <c r="G511">
        <v>4199953</v>
      </c>
    </row>
    <row r="512" spans="2:7" x14ac:dyDescent="0.3">
      <c r="B512" t="str">
        <f t="shared" si="14"/>
        <v>98o</v>
      </c>
      <c r="C512" t="str">
        <f t="shared" si="15"/>
        <v>9H 8C</v>
      </c>
      <c r="D512" t="s">
        <v>39</v>
      </c>
      <c r="E512" t="s">
        <v>41</v>
      </c>
      <c r="F512">
        <v>8398611</v>
      </c>
      <c r="G512">
        <v>4228625</v>
      </c>
    </row>
    <row r="513" spans="2:7" x14ac:dyDescent="0.3">
      <c r="B513" t="str">
        <f t="shared" si="14"/>
        <v>98o</v>
      </c>
      <c r="C513" t="str">
        <f t="shared" si="15"/>
        <v>9H 8D</v>
      </c>
      <c r="D513" t="s">
        <v>39</v>
      </c>
      <c r="E513" t="s">
        <v>42</v>
      </c>
      <c r="F513">
        <v>8398611</v>
      </c>
      <c r="G513">
        <v>4212241</v>
      </c>
    </row>
    <row r="514" spans="2:7" x14ac:dyDescent="0.3">
      <c r="B514" t="str">
        <f t="shared" si="14"/>
        <v>98o</v>
      </c>
      <c r="C514" t="str">
        <f t="shared" si="15"/>
        <v>9H 8S</v>
      </c>
      <c r="D514" t="s">
        <v>39</v>
      </c>
      <c r="E514" t="s">
        <v>44</v>
      </c>
      <c r="F514">
        <v>8398611</v>
      </c>
      <c r="G514">
        <v>4199953</v>
      </c>
    </row>
    <row r="515" spans="2:7" x14ac:dyDescent="0.3">
      <c r="B515" t="str">
        <f t="shared" ref="B515:B578" si="16">LEFT(D515,1)&amp;LEFT(E515,1)&amp;IF(LEFT(D515,1)=LEFT(E515,1), "", IF(RIGHT(D515,1)=RIGHT(E515,1), "s", "o"))</f>
        <v>98o</v>
      </c>
      <c r="C515" t="str">
        <f t="shared" ref="C515:C578" si="17">UPPER(D515&amp;" "&amp;E515)</f>
        <v>9S 8C</v>
      </c>
      <c r="D515" t="s">
        <v>40</v>
      </c>
      <c r="E515" t="s">
        <v>41</v>
      </c>
      <c r="F515">
        <v>8394515</v>
      </c>
      <c r="G515">
        <v>4228625</v>
      </c>
    </row>
    <row r="516" spans="2:7" x14ac:dyDescent="0.3">
      <c r="B516" t="str">
        <f t="shared" si="16"/>
        <v>98o</v>
      </c>
      <c r="C516" t="str">
        <f t="shared" si="17"/>
        <v>9S 8D</v>
      </c>
      <c r="D516" t="s">
        <v>40</v>
      </c>
      <c r="E516" t="s">
        <v>42</v>
      </c>
      <c r="F516">
        <v>8394515</v>
      </c>
      <c r="G516">
        <v>4212241</v>
      </c>
    </row>
    <row r="517" spans="2:7" x14ac:dyDescent="0.3">
      <c r="B517" t="str">
        <f t="shared" si="16"/>
        <v>98o</v>
      </c>
      <c r="C517" t="str">
        <f t="shared" si="17"/>
        <v>9S 8H</v>
      </c>
      <c r="D517" t="s">
        <v>40</v>
      </c>
      <c r="E517" t="s">
        <v>43</v>
      </c>
      <c r="F517">
        <v>8394515</v>
      </c>
      <c r="G517">
        <v>4204049</v>
      </c>
    </row>
    <row r="518" spans="2:7" x14ac:dyDescent="0.3">
      <c r="B518" t="str">
        <f t="shared" si="16"/>
        <v>88</v>
      </c>
      <c r="C518" t="str">
        <f t="shared" si="17"/>
        <v>8C 8D</v>
      </c>
      <c r="D518" t="s">
        <v>41</v>
      </c>
      <c r="E518" t="s">
        <v>42</v>
      </c>
      <c r="F518">
        <v>4228625</v>
      </c>
      <c r="G518">
        <v>4212241</v>
      </c>
    </row>
    <row r="519" spans="2:7" x14ac:dyDescent="0.3">
      <c r="B519" t="str">
        <f t="shared" si="16"/>
        <v>88</v>
      </c>
      <c r="C519" t="str">
        <f t="shared" si="17"/>
        <v>8C 8H</v>
      </c>
      <c r="D519" t="s">
        <v>41</v>
      </c>
      <c r="E519" t="s">
        <v>43</v>
      </c>
      <c r="F519">
        <v>4228625</v>
      </c>
      <c r="G519">
        <v>4204049</v>
      </c>
    </row>
    <row r="520" spans="2:7" x14ac:dyDescent="0.3">
      <c r="B520" t="str">
        <f t="shared" si="16"/>
        <v>88</v>
      </c>
      <c r="C520" t="str">
        <f t="shared" si="17"/>
        <v>8C 8S</v>
      </c>
      <c r="D520" t="s">
        <v>41</v>
      </c>
      <c r="E520" t="s">
        <v>44</v>
      </c>
      <c r="F520">
        <v>4228625</v>
      </c>
      <c r="G520">
        <v>4199953</v>
      </c>
    </row>
    <row r="521" spans="2:7" x14ac:dyDescent="0.3">
      <c r="B521" t="str">
        <f t="shared" si="16"/>
        <v>88</v>
      </c>
      <c r="C521" t="str">
        <f t="shared" si="17"/>
        <v>8D 8H</v>
      </c>
      <c r="D521" t="s">
        <v>42</v>
      </c>
      <c r="E521" t="s">
        <v>43</v>
      </c>
      <c r="F521">
        <v>4212241</v>
      </c>
      <c r="G521">
        <v>4204049</v>
      </c>
    </row>
    <row r="522" spans="2:7" x14ac:dyDescent="0.3">
      <c r="B522" t="str">
        <f t="shared" si="16"/>
        <v>88</v>
      </c>
      <c r="C522" t="str">
        <f t="shared" si="17"/>
        <v>8D 8S</v>
      </c>
      <c r="D522" t="s">
        <v>42</v>
      </c>
      <c r="E522" t="s">
        <v>44</v>
      </c>
      <c r="F522">
        <v>4212241</v>
      </c>
      <c r="G522">
        <v>4199953</v>
      </c>
    </row>
    <row r="523" spans="2:7" x14ac:dyDescent="0.3">
      <c r="B523" t="str">
        <f t="shared" si="16"/>
        <v>88</v>
      </c>
      <c r="C523" t="str">
        <f t="shared" si="17"/>
        <v>8H 8S</v>
      </c>
      <c r="D523" t="s">
        <v>43</v>
      </c>
      <c r="E523" t="s">
        <v>44</v>
      </c>
      <c r="F523">
        <v>4204049</v>
      </c>
      <c r="G523">
        <v>4199953</v>
      </c>
    </row>
    <row r="524" spans="2:7" x14ac:dyDescent="0.3">
      <c r="B524" t="str">
        <f t="shared" si="16"/>
        <v>87s</v>
      </c>
      <c r="C524" t="str">
        <f t="shared" si="17"/>
        <v>8C 7C</v>
      </c>
      <c r="D524" t="s">
        <v>41</v>
      </c>
      <c r="E524" t="s">
        <v>45</v>
      </c>
      <c r="F524">
        <v>4228625</v>
      </c>
      <c r="G524">
        <v>2131213</v>
      </c>
    </row>
    <row r="525" spans="2:7" x14ac:dyDescent="0.3">
      <c r="B525" t="str">
        <f t="shared" si="16"/>
        <v>87s</v>
      </c>
      <c r="C525" t="str">
        <f t="shared" si="17"/>
        <v>8D 7D</v>
      </c>
      <c r="D525" t="s">
        <v>42</v>
      </c>
      <c r="E525" t="s">
        <v>46</v>
      </c>
      <c r="F525">
        <v>4212241</v>
      </c>
      <c r="G525">
        <v>2114829</v>
      </c>
    </row>
    <row r="526" spans="2:7" x14ac:dyDescent="0.3">
      <c r="B526" t="str">
        <f t="shared" si="16"/>
        <v>87s</v>
      </c>
      <c r="C526" t="str">
        <f t="shared" si="17"/>
        <v>8H 7H</v>
      </c>
      <c r="D526" t="s">
        <v>43</v>
      </c>
      <c r="E526" t="s">
        <v>47</v>
      </c>
      <c r="F526">
        <v>4204049</v>
      </c>
      <c r="G526">
        <v>2106637</v>
      </c>
    </row>
    <row r="527" spans="2:7" x14ac:dyDescent="0.3">
      <c r="B527" t="str">
        <f t="shared" si="16"/>
        <v>87s</v>
      </c>
      <c r="C527" t="str">
        <f t="shared" si="17"/>
        <v>8S 7S</v>
      </c>
      <c r="D527" t="s">
        <v>44</v>
      </c>
      <c r="E527" t="s">
        <v>48</v>
      </c>
      <c r="F527">
        <v>4199953</v>
      </c>
      <c r="G527">
        <v>2102541</v>
      </c>
    </row>
    <row r="528" spans="2:7" x14ac:dyDescent="0.3">
      <c r="B528" t="str">
        <f t="shared" si="16"/>
        <v>86s</v>
      </c>
      <c r="C528" t="str">
        <f t="shared" si="17"/>
        <v>8C 6C</v>
      </c>
      <c r="D528" t="s">
        <v>41</v>
      </c>
      <c r="E528" t="s">
        <v>49</v>
      </c>
      <c r="F528">
        <v>4228625</v>
      </c>
      <c r="G528">
        <v>1082379</v>
      </c>
    </row>
    <row r="529" spans="2:7" x14ac:dyDescent="0.3">
      <c r="B529" t="str">
        <f t="shared" si="16"/>
        <v>86s</v>
      </c>
      <c r="C529" t="str">
        <f t="shared" si="17"/>
        <v>8D 6D</v>
      </c>
      <c r="D529" t="s">
        <v>42</v>
      </c>
      <c r="E529" t="s">
        <v>50</v>
      </c>
      <c r="F529">
        <v>4212241</v>
      </c>
      <c r="G529">
        <v>1065995</v>
      </c>
    </row>
    <row r="530" spans="2:7" x14ac:dyDescent="0.3">
      <c r="B530" t="str">
        <f t="shared" si="16"/>
        <v>86s</v>
      </c>
      <c r="C530" t="str">
        <f t="shared" si="17"/>
        <v>8H 6H</v>
      </c>
      <c r="D530" t="s">
        <v>43</v>
      </c>
      <c r="E530" t="s">
        <v>51</v>
      </c>
      <c r="F530">
        <v>4204049</v>
      </c>
      <c r="G530">
        <v>1057803</v>
      </c>
    </row>
    <row r="531" spans="2:7" x14ac:dyDescent="0.3">
      <c r="B531" t="str">
        <f t="shared" si="16"/>
        <v>86s</v>
      </c>
      <c r="C531" t="str">
        <f t="shared" si="17"/>
        <v>8S 6S</v>
      </c>
      <c r="D531" t="s">
        <v>44</v>
      </c>
      <c r="E531" t="s">
        <v>52</v>
      </c>
      <c r="F531">
        <v>4199953</v>
      </c>
      <c r="G531">
        <v>1053707</v>
      </c>
    </row>
    <row r="532" spans="2:7" x14ac:dyDescent="0.3">
      <c r="B532" t="str">
        <f t="shared" si="16"/>
        <v>85s</v>
      </c>
      <c r="C532" t="str">
        <f t="shared" si="17"/>
        <v>8C 5C</v>
      </c>
      <c r="D532" t="s">
        <v>41</v>
      </c>
      <c r="E532" t="s">
        <v>53</v>
      </c>
      <c r="F532">
        <v>4228625</v>
      </c>
      <c r="G532">
        <v>557831</v>
      </c>
    </row>
    <row r="533" spans="2:7" x14ac:dyDescent="0.3">
      <c r="B533" t="str">
        <f t="shared" si="16"/>
        <v>85s</v>
      </c>
      <c r="C533" t="str">
        <f t="shared" si="17"/>
        <v>8D 5D</v>
      </c>
      <c r="D533" t="s">
        <v>42</v>
      </c>
      <c r="E533" t="s">
        <v>54</v>
      </c>
      <c r="F533">
        <v>4212241</v>
      </c>
      <c r="G533">
        <v>541447</v>
      </c>
    </row>
    <row r="534" spans="2:7" x14ac:dyDescent="0.3">
      <c r="B534" t="str">
        <f t="shared" si="16"/>
        <v>85s</v>
      </c>
      <c r="C534" t="str">
        <f t="shared" si="17"/>
        <v>8H 5H</v>
      </c>
      <c r="D534" t="s">
        <v>43</v>
      </c>
      <c r="E534" t="s">
        <v>55</v>
      </c>
      <c r="F534">
        <v>4204049</v>
      </c>
      <c r="G534">
        <v>533255</v>
      </c>
    </row>
    <row r="535" spans="2:7" x14ac:dyDescent="0.3">
      <c r="B535" t="str">
        <f t="shared" si="16"/>
        <v>85s</v>
      </c>
      <c r="C535" t="str">
        <f t="shared" si="17"/>
        <v>8S 5S</v>
      </c>
      <c r="D535" t="s">
        <v>44</v>
      </c>
      <c r="E535" t="s">
        <v>56</v>
      </c>
      <c r="F535">
        <v>4199953</v>
      </c>
      <c r="G535">
        <v>529159</v>
      </c>
    </row>
    <row r="536" spans="2:7" x14ac:dyDescent="0.3">
      <c r="B536" t="str">
        <f t="shared" si="16"/>
        <v>84s</v>
      </c>
      <c r="C536" t="str">
        <f t="shared" si="17"/>
        <v>8C 4C</v>
      </c>
      <c r="D536" t="s">
        <v>41</v>
      </c>
      <c r="E536" t="s">
        <v>57</v>
      </c>
      <c r="F536">
        <v>4228625</v>
      </c>
      <c r="G536">
        <v>295429</v>
      </c>
    </row>
    <row r="537" spans="2:7" x14ac:dyDescent="0.3">
      <c r="B537" t="str">
        <f t="shared" si="16"/>
        <v>84s</v>
      </c>
      <c r="C537" t="str">
        <f t="shared" si="17"/>
        <v>8D 4D</v>
      </c>
      <c r="D537" t="s">
        <v>42</v>
      </c>
      <c r="E537" t="s">
        <v>58</v>
      </c>
      <c r="F537">
        <v>4212241</v>
      </c>
      <c r="G537">
        <v>279045</v>
      </c>
    </row>
    <row r="538" spans="2:7" x14ac:dyDescent="0.3">
      <c r="B538" t="str">
        <f t="shared" si="16"/>
        <v>84s</v>
      </c>
      <c r="C538" t="str">
        <f t="shared" si="17"/>
        <v>8H 4H</v>
      </c>
      <c r="D538" t="s">
        <v>43</v>
      </c>
      <c r="E538" t="s">
        <v>59</v>
      </c>
      <c r="F538">
        <v>4204049</v>
      </c>
      <c r="G538">
        <v>270853</v>
      </c>
    </row>
    <row r="539" spans="2:7" x14ac:dyDescent="0.3">
      <c r="B539" t="str">
        <f t="shared" si="16"/>
        <v>84s</v>
      </c>
      <c r="C539" t="str">
        <f t="shared" si="17"/>
        <v>8S 4S</v>
      </c>
      <c r="D539" t="s">
        <v>44</v>
      </c>
      <c r="E539" t="s">
        <v>60</v>
      </c>
      <c r="F539">
        <v>4199953</v>
      </c>
      <c r="G539">
        <v>266757</v>
      </c>
    </row>
    <row r="540" spans="2:7" x14ac:dyDescent="0.3">
      <c r="B540" t="str">
        <f t="shared" si="16"/>
        <v>83s</v>
      </c>
      <c r="C540" t="str">
        <f t="shared" si="17"/>
        <v>8C 3C</v>
      </c>
      <c r="D540" t="s">
        <v>41</v>
      </c>
      <c r="E540" t="s">
        <v>61</v>
      </c>
      <c r="F540">
        <v>4228625</v>
      </c>
      <c r="G540">
        <v>164099</v>
      </c>
    </row>
    <row r="541" spans="2:7" x14ac:dyDescent="0.3">
      <c r="B541" t="str">
        <f t="shared" si="16"/>
        <v>83s</v>
      </c>
      <c r="C541" t="str">
        <f t="shared" si="17"/>
        <v>8D 3D</v>
      </c>
      <c r="D541" t="s">
        <v>42</v>
      </c>
      <c r="E541" t="s">
        <v>62</v>
      </c>
      <c r="F541">
        <v>4212241</v>
      </c>
      <c r="G541">
        <v>147715</v>
      </c>
    </row>
    <row r="542" spans="2:7" x14ac:dyDescent="0.3">
      <c r="B542" t="str">
        <f t="shared" si="16"/>
        <v>83s</v>
      </c>
      <c r="C542" t="str">
        <f t="shared" si="17"/>
        <v>8H 3H</v>
      </c>
      <c r="D542" t="s">
        <v>43</v>
      </c>
      <c r="E542" t="s">
        <v>63</v>
      </c>
      <c r="F542">
        <v>4204049</v>
      </c>
      <c r="G542">
        <v>139523</v>
      </c>
    </row>
    <row r="543" spans="2:7" x14ac:dyDescent="0.3">
      <c r="B543" t="str">
        <f t="shared" si="16"/>
        <v>83s</v>
      </c>
      <c r="C543" t="str">
        <f t="shared" si="17"/>
        <v>8S 3S</v>
      </c>
      <c r="D543" t="s">
        <v>44</v>
      </c>
      <c r="E543" t="s">
        <v>64</v>
      </c>
      <c r="F543">
        <v>4199953</v>
      </c>
      <c r="G543">
        <v>135427</v>
      </c>
    </row>
    <row r="544" spans="2:7" x14ac:dyDescent="0.3">
      <c r="B544" t="str">
        <f t="shared" si="16"/>
        <v>82s</v>
      </c>
      <c r="C544" t="str">
        <f t="shared" si="17"/>
        <v>8C 2C</v>
      </c>
      <c r="D544" t="s">
        <v>41</v>
      </c>
      <c r="E544" t="s">
        <v>65</v>
      </c>
      <c r="F544">
        <v>4228625</v>
      </c>
      <c r="G544">
        <v>98306</v>
      </c>
    </row>
    <row r="545" spans="2:7" x14ac:dyDescent="0.3">
      <c r="B545" t="str">
        <f t="shared" si="16"/>
        <v>82s</v>
      </c>
      <c r="C545" t="str">
        <f t="shared" si="17"/>
        <v>8D 2D</v>
      </c>
      <c r="D545" t="s">
        <v>42</v>
      </c>
      <c r="E545" t="s">
        <v>66</v>
      </c>
      <c r="F545">
        <v>4212241</v>
      </c>
      <c r="G545">
        <v>81922</v>
      </c>
    </row>
    <row r="546" spans="2:7" x14ac:dyDescent="0.3">
      <c r="B546" t="str">
        <f t="shared" si="16"/>
        <v>82s</v>
      </c>
      <c r="C546" t="str">
        <f t="shared" si="17"/>
        <v>8H 2H</v>
      </c>
      <c r="D546" t="s">
        <v>43</v>
      </c>
      <c r="E546" t="s">
        <v>67</v>
      </c>
      <c r="F546">
        <v>4204049</v>
      </c>
      <c r="G546">
        <v>73730</v>
      </c>
    </row>
    <row r="547" spans="2:7" x14ac:dyDescent="0.3">
      <c r="B547" t="str">
        <f t="shared" si="16"/>
        <v>82s</v>
      </c>
      <c r="C547" t="str">
        <f t="shared" si="17"/>
        <v>8S 2S</v>
      </c>
      <c r="D547" t="s">
        <v>44</v>
      </c>
      <c r="E547" t="s">
        <v>68</v>
      </c>
      <c r="F547">
        <v>4199953</v>
      </c>
      <c r="G547">
        <v>69634</v>
      </c>
    </row>
    <row r="548" spans="2:7" x14ac:dyDescent="0.3">
      <c r="B548" t="str">
        <f t="shared" si="16"/>
        <v>A7o</v>
      </c>
      <c r="C548" t="str">
        <f t="shared" si="17"/>
        <v>AC 7D</v>
      </c>
      <c r="D548" t="s">
        <v>17</v>
      </c>
      <c r="E548" t="s">
        <v>46</v>
      </c>
      <c r="F548">
        <v>268471337</v>
      </c>
      <c r="G548">
        <v>2114829</v>
      </c>
    </row>
    <row r="549" spans="2:7" x14ac:dyDescent="0.3">
      <c r="B549" t="str">
        <f t="shared" si="16"/>
        <v>A7o</v>
      </c>
      <c r="C549" t="str">
        <f t="shared" si="17"/>
        <v>AC 7H</v>
      </c>
      <c r="D549" t="s">
        <v>17</v>
      </c>
      <c r="E549" t="s">
        <v>47</v>
      </c>
      <c r="F549">
        <v>268471337</v>
      </c>
      <c r="G549">
        <v>2106637</v>
      </c>
    </row>
    <row r="550" spans="2:7" x14ac:dyDescent="0.3">
      <c r="B550" t="str">
        <f t="shared" si="16"/>
        <v>A7o</v>
      </c>
      <c r="C550" t="str">
        <f t="shared" si="17"/>
        <v>AC 7S</v>
      </c>
      <c r="D550" t="s">
        <v>17</v>
      </c>
      <c r="E550" t="s">
        <v>48</v>
      </c>
      <c r="F550">
        <v>268471337</v>
      </c>
      <c r="G550">
        <v>2102541</v>
      </c>
    </row>
    <row r="551" spans="2:7" x14ac:dyDescent="0.3">
      <c r="B551" t="str">
        <f t="shared" si="16"/>
        <v>A7o</v>
      </c>
      <c r="C551" t="str">
        <f t="shared" si="17"/>
        <v>AD 7C</v>
      </c>
      <c r="D551" t="s">
        <v>18</v>
      </c>
      <c r="E551" t="s">
        <v>45</v>
      </c>
      <c r="F551">
        <v>268454953</v>
      </c>
      <c r="G551">
        <v>2131213</v>
      </c>
    </row>
    <row r="552" spans="2:7" x14ac:dyDescent="0.3">
      <c r="B552" t="str">
        <f t="shared" si="16"/>
        <v>A7o</v>
      </c>
      <c r="C552" t="str">
        <f t="shared" si="17"/>
        <v>AD 7H</v>
      </c>
      <c r="D552" t="s">
        <v>18</v>
      </c>
      <c r="E552" t="s">
        <v>47</v>
      </c>
      <c r="F552">
        <v>268454953</v>
      </c>
      <c r="G552">
        <v>2106637</v>
      </c>
    </row>
    <row r="553" spans="2:7" x14ac:dyDescent="0.3">
      <c r="B553" t="str">
        <f t="shared" si="16"/>
        <v>A7o</v>
      </c>
      <c r="C553" t="str">
        <f t="shared" si="17"/>
        <v>AD 7S</v>
      </c>
      <c r="D553" t="s">
        <v>18</v>
      </c>
      <c r="E553" t="s">
        <v>48</v>
      </c>
      <c r="F553">
        <v>268454953</v>
      </c>
      <c r="G553">
        <v>2102541</v>
      </c>
    </row>
    <row r="554" spans="2:7" x14ac:dyDescent="0.3">
      <c r="B554" t="str">
        <f t="shared" si="16"/>
        <v>A7o</v>
      </c>
      <c r="C554" t="str">
        <f t="shared" si="17"/>
        <v>AH 7C</v>
      </c>
      <c r="D554" t="s">
        <v>19</v>
      </c>
      <c r="E554" t="s">
        <v>45</v>
      </c>
      <c r="F554">
        <v>268446761</v>
      </c>
      <c r="G554">
        <v>2131213</v>
      </c>
    </row>
    <row r="555" spans="2:7" x14ac:dyDescent="0.3">
      <c r="B555" t="str">
        <f t="shared" si="16"/>
        <v>A7o</v>
      </c>
      <c r="C555" t="str">
        <f t="shared" si="17"/>
        <v>AH 7D</v>
      </c>
      <c r="D555" t="s">
        <v>19</v>
      </c>
      <c r="E555" t="s">
        <v>46</v>
      </c>
      <c r="F555">
        <v>268446761</v>
      </c>
      <c r="G555">
        <v>2114829</v>
      </c>
    </row>
    <row r="556" spans="2:7" x14ac:dyDescent="0.3">
      <c r="B556" t="str">
        <f t="shared" si="16"/>
        <v>A7o</v>
      </c>
      <c r="C556" t="str">
        <f t="shared" si="17"/>
        <v>AH 7S</v>
      </c>
      <c r="D556" t="s">
        <v>19</v>
      </c>
      <c r="E556" t="s">
        <v>48</v>
      </c>
      <c r="F556">
        <v>268446761</v>
      </c>
      <c r="G556">
        <v>2102541</v>
      </c>
    </row>
    <row r="557" spans="2:7" x14ac:dyDescent="0.3">
      <c r="B557" t="str">
        <f t="shared" si="16"/>
        <v>A7o</v>
      </c>
      <c r="C557" t="str">
        <f t="shared" si="17"/>
        <v>AS 7C</v>
      </c>
      <c r="D557" t="s">
        <v>20</v>
      </c>
      <c r="E557" t="s">
        <v>45</v>
      </c>
      <c r="F557">
        <v>268442665</v>
      </c>
      <c r="G557">
        <v>2131213</v>
      </c>
    </row>
    <row r="558" spans="2:7" x14ac:dyDescent="0.3">
      <c r="B558" t="str">
        <f t="shared" si="16"/>
        <v>A7o</v>
      </c>
      <c r="C558" t="str">
        <f t="shared" si="17"/>
        <v>AS 7D</v>
      </c>
      <c r="D558" t="s">
        <v>20</v>
      </c>
      <c r="E558" t="s">
        <v>46</v>
      </c>
      <c r="F558">
        <v>268442665</v>
      </c>
      <c r="G558">
        <v>2114829</v>
      </c>
    </row>
    <row r="559" spans="2:7" x14ac:dyDescent="0.3">
      <c r="B559" t="str">
        <f t="shared" si="16"/>
        <v>A7o</v>
      </c>
      <c r="C559" t="str">
        <f t="shared" si="17"/>
        <v>AS 7H</v>
      </c>
      <c r="D559" t="s">
        <v>20</v>
      </c>
      <c r="E559" t="s">
        <v>47</v>
      </c>
      <c r="F559">
        <v>268442665</v>
      </c>
      <c r="G559">
        <v>2106637</v>
      </c>
    </row>
    <row r="560" spans="2:7" x14ac:dyDescent="0.3">
      <c r="B560" t="str">
        <f t="shared" si="16"/>
        <v>K7o</v>
      </c>
      <c r="C560" t="str">
        <f t="shared" si="17"/>
        <v>KC 7D</v>
      </c>
      <c r="D560" t="s">
        <v>21</v>
      </c>
      <c r="E560" t="s">
        <v>46</v>
      </c>
      <c r="F560">
        <v>134253349</v>
      </c>
      <c r="G560">
        <v>2114829</v>
      </c>
    </row>
    <row r="561" spans="2:7" x14ac:dyDescent="0.3">
      <c r="B561" t="str">
        <f t="shared" si="16"/>
        <v>K7o</v>
      </c>
      <c r="C561" t="str">
        <f t="shared" si="17"/>
        <v>KC 7H</v>
      </c>
      <c r="D561" t="s">
        <v>21</v>
      </c>
      <c r="E561" t="s">
        <v>47</v>
      </c>
      <c r="F561">
        <v>134253349</v>
      </c>
      <c r="G561">
        <v>2106637</v>
      </c>
    </row>
    <row r="562" spans="2:7" x14ac:dyDescent="0.3">
      <c r="B562" t="str">
        <f t="shared" si="16"/>
        <v>K7o</v>
      </c>
      <c r="C562" t="str">
        <f t="shared" si="17"/>
        <v>KC 7S</v>
      </c>
      <c r="D562" t="s">
        <v>21</v>
      </c>
      <c r="E562" t="s">
        <v>48</v>
      </c>
      <c r="F562">
        <v>134253349</v>
      </c>
      <c r="G562">
        <v>2102541</v>
      </c>
    </row>
    <row r="563" spans="2:7" x14ac:dyDescent="0.3">
      <c r="B563" t="str">
        <f t="shared" si="16"/>
        <v>K7o</v>
      </c>
      <c r="C563" t="str">
        <f t="shared" si="17"/>
        <v>KD 7C</v>
      </c>
      <c r="D563" t="s">
        <v>22</v>
      </c>
      <c r="E563" t="s">
        <v>45</v>
      </c>
      <c r="F563">
        <v>134236965</v>
      </c>
      <c r="G563">
        <v>2131213</v>
      </c>
    </row>
    <row r="564" spans="2:7" x14ac:dyDescent="0.3">
      <c r="B564" t="str">
        <f t="shared" si="16"/>
        <v>K7o</v>
      </c>
      <c r="C564" t="str">
        <f t="shared" si="17"/>
        <v>KD 7H</v>
      </c>
      <c r="D564" t="s">
        <v>22</v>
      </c>
      <c r="E564" t="s">
        <v>47</v>
      </c>
      <c r="F564">
        <v>134236965</v>
      </c>
      <c r="G564">
        <v>2106637</v>
      </c>
    </row>
    <row r="565" spans="2:7" x14ac:dyDescent="0.3">
      <c r="B565" t="str">
        <f t="shared" si="16"/>
        <v>K7o</v>
      </c>
      <c r="C565" t="str">
        <f t="shared" si="17"/>
        <v>KD 7S</v>
      </c>
      <c r="D565" t="s">
        <v>22</v>
      </c>
      <c r="E565" t="s">
        <v>48</v>
      </c>
      <c r="F565">
        <v>134236965</v>
      </c>
      <c r="G565">
        <v>2102541</v>
      </c>
    </row>
    <row r="566" spans="2:7" x14ac:dyDescent="0.3">
      <c r="B566" t="str">
        <f t="shared" si="16"/>
        <v>K7o</v>
      </c>
      <c r="C566" t="str">
        <f t="shared" si="17"/>
        <v>KH 7C</v>
      </c>
      <c r="D566" t="s">
        <v>23</v>
      </c>
      <c r="E566" t="s">
        <v>45</v>
      </c>
      <c r="F566">
        <v>134228773</v>
      </c>
      <c r="G566">
        <v>2131213</v>
      </c>
    </row>
    <row r="567" spans="2:7" x14ac:dyDescent="0.3">
      <c r="B567" t="str">
        <f t="shared" si="16"/>
        <v>K7o</v>
      </c>
      <c r="C567" t="str">
        <f t="shared" si="17"/>
        <v>KH 7D</v>
      </c>
      <c r="D567" t="s">
        <v>23</v>
      </c>
      <c r="E567" t="s">
        <v>46</v>
      </c>
      <c r="F567">
        <v>134228773</v>
      </c>
      <c r="G567">
        <v>2114829</v>
      </c>
    </row>
    <row r="568" spans="2:7" x14ac:dyDescent="0.3">
      <c r="B568" t="str">
        <f t="shared" si="16"/>
        <v>K7o</v>
      </c>
      <c r="C568" t="str">
        <f t="shared" si="17"/>
        <v>KH 7S</v>
      </c>
      <c r="D568" t="s">
        <v>23</v>
      </c>
      <c r="E568" t="s">
        <v>48</v>
      </c>
      <c r="F568">
        <v>134228773</v>
      </c>
      <c r="G568">
        <v>2102541</v>
      </c>
    </row>
    <row r="569" spans="2:7" x14ac:dyDescent="0.3">
      <c r="B569" t="str">
        <f t="shared" si="16"/>
        <v>K7o</v>
      </c>
      <c r="C569" t="str">
        <f t="shared" si="17"/>
        <v>KS 7C</v>
      </c>
      <c r="D569" t="s">
        <v>24</v>
      </c>
      <c r="E569" t="s">
        <v>45</v>
      </c>
      <c r="F569">
        <v>134224677</v>
      </c>
      <c r="G569">
        <v>2131213</v>
      </c>
    </row>
    <row r="570" spans="2:7" x14ac:dyDescent="0.3">
      <c r="B570" t="str">
        <f t="shared" si="16"/>
        <v>K7o</v>
      </c>
      <c r="C570" t="str">
        <f t="shared" si="17"/>
        <v>KS 7D</v>
      </c>
      <c r="D570" t="s">
        <v>24</v>
      </c>
      <c r="E570" t="s">
        <v>46</v>
      </c>
      <c r="F570">
        <v>134224677</v>
      </c>
      <c r="G570">
        <v>2114829</v>
      </c>
    </row>
    <row r="571" spans="2:7" x14ac:dyDescent="0.3">
      <c r="B571" t="str">
        <f t="shared" si="16"/>
        <v>K7o</v>
      </c>
      <c r="C571" t="str">
        <f t="shared" si="17"/>
        <v>KS 7H</v>
      </c>
      <c r="D571" t="s">
        <v>24</v>
      </c>
      <c r="E571" t="s">
        <v>47</v>
      </c>
      <c r="F571">
        <v>134224677</v>
      </c>
      <c r="G571">
        <v>2106637</v>
      </c>
    </row>
    <row r="572" spans="2:7" x14ac:dyDescent="0.3">
      <c r="B572" t="str">
        <f t="shared" si="16"/>
        <v>Q7o</v>
      </c>
      <c r="C572" t="str">
        <f t="shared" si="17"/>
        <v>QC 7D</v>
      </c>
      <c r="D572" t="s">
        <v>25</v>
      </c>
      <c r="E572" t="s">
        <v>46</v>
      </c>
      <c r="F572">
        <v>67144223</v>
      </c>
      <c r="G572">
        <v>2114829</v>
      </c>
    </row>
    <row r="573" spans="2:7" x14ac:dyDescent="0.3">
      <c r="B573" t="str">
        <f t="shared" si="16"/>
        <v>Q7o</v>
      </c>
      <c r="C573" t="str">
        <f t="shared" si="17"/>
        <v>QC 7H</v>
      </c>
      <c r="D573" t="s">
        <v>25</v>
      </c>
      <c r="E573" t="s">
        <v>47</v>
      </c>
      <c r="F573">
        <v>67144223</v>
      </c>
      <c r="G573">
        <v>2106637</v>
      </c>
    </row>
    <row r="574" spans="2:7" x14ac:dyDescent="0.3">
      <c r="B574" t="str">
        <f t="shared" si="16"/>
        <v>Q7o</v>
      </c>
      <c r="C574" t="str">
        <f t="shared" si="17"/>
        <v>QC 7S</v>
      </c>
      <c r="D574" t="s">
        <v>25</v>
      </c>
      <c r="E574" t="s">
        <v>48</v>
      </c>
      <c r="F574">
        <v>67144223</v>
      </c>
      <c r="G574">
        <v>2102541</v>
      </c>
    </row>
    <row r="575" spans="2:7" x14ac:dyDescent="0.3">
      <c r="B575" t="str">
        <f t="shared" si="16"/>
        <v>Q7o</v>
      </c>
      <c r="C575" t="str">
        <f t="shared" si="17"/>
        <v>QD 7C</v>
      </c>
      <c r="D575" t="s">
        <v>26</v>
      </c>
      <c r="E575" t="s">
        <v>45</v>
      </c>
      <c r="F575">
        <v>67127839</v>
      </c>
      <c r="G575">
        <v>2131213</v>
      </c>
    </row>
    <row r="576" spans="2:7" x14ac:dyDescent="0.3">
      <c r="B576" t="str">
        <f t="shared" si="16"/>
        <v>Q7o</v>
      </c>
      <c r="C576" t="str">
        <f t="shared" si="17"/>
        <v>QD 7H</v>
      </c>
      <c r="D576" t="s">
        <v>26</v>
      </c>
      <c r="E576" t="s">
        <v>47</v>
      </c>
      <c r="F576">
        <v>67127839</v>
      </c>
      <c r="G576">
        <v>2106637</v>
      </c>
    </row>
    <row r="577" spans="2:7" x14ac:dyDescent="0.3">
      <c r="B577" t="str">
        <f t="shared" si="16"/>
        <v>Q7o</v>
      </c>
      <c r="C577" t="str">
        <f t="shared" si="17"/>
        <v>QD 7S</v>
      </c>
      <c r="D577" t="s">
        <v>26</v>
      </c>
      <c r="E577" t="s">
        <v>48</v>
      </c>
      <c r="F577">
        <v>67127839</v>
      </c>
      <c r="G577">
        <v>2102541</v>
      </c>
    </row>
    <row r="578" spans="2:7" x14ac:dyDescent="0.3">
      <c r="B578" t="str">
        <f t="shared" si="16"/>
        <v>Q7o</v>
      </c>
      <c r="C578" t="str">
        <f t="shared" si="17"/>
        <v>QH 7C</v>
      </c>
      <c r="D578" t="s">
        <v>27</v>
      </c>
      <c r="E578" t="s">
        <v>45</v>
      </c>
      <c r="F578">
        <v>67119647</v>
      </c>
      <c r="G578">
        <v>2131213</v>
      </c>
    </row>
    <row r="579" spans="2:7" x14ac:dyDescent="0.3">
      <c r="B579" t="str">
        <f t="shared" ref="B579:B642" si="18">LEFT(D579,1)&amp;LEFT(E579,1)&amp;IF(LEFT(D579,1)=LEFT(E579,1), "", IF(RIGHT(D579,1)=RIGHT(E579,1), "s", "o"))</f>
        <v>Q7o</v>
      </c>
      <c r="C579" t="str">
        <f t="shared" ref="C579:C642" si="19">UPPER(D579&amp;" "&amp;E579)</f>
        <v>QH 7D</v>
      </c>
      <c r="D579" t="s">
        <v>27</v>
      </c>
      <c r="E579" t="s">
        <v>46</v>
      </c>
      <c r="F579">
        <v>67119647</v>
      </c>
      <c r="G579">
        <v>2114829</v>
      </c>
    </row>
    <row r="580" spans="2:7" x14ac:dyDescent="0.3">
      <c r="B580" t="str">
        <f t="shared" si="18"/>
        <v>Q7o</v>
      </c>
      <c r="C580" t="str">
        <f t="shared" si="19"/>
        <v>QH 7S</v>
      </c>
      <c r="D580" t="s">
        <v>27</v>
      </c>
      <c r="E580" t="s">
        <v>48</v>
      </c>
      <c r="F580">
        <v>67119647</v>
      </c>
      <c r="G580">
        <v>2102541</v>
      </c>
    </row>
    <row r="581" spans="2:7" x14ac:dyDescent="0.3">
      <c r="B581" t="str">
        <f t="shared" si="18"/>
        <v>Q7o</v>
      </c>
      <c r="C581" t="str">
        <f t="shared" si="19"/>
        <v>QS 7C</v>
      </c>
      <c r="D581" t="s">
        <v>28</v>
      </c>
      <c r="E581" t="s">
        <v>45</v>
      </c>
      <c r="F581">
        <v>67115551</v>
      </c>
      <c r="G581">
        <v>2131213</v>
      </c>
    </row>
    <row r="582" spans="2:7" x14ac:dyDescent="0.3">
      <c r="B582" t="str">
        <f t="shared" si="18"/>
        <v>Q7o</v>
      </c>
      <c r="C582" t="str">
        <f t="shared" si="19"/>
        <v>QS 7D</v>
      </c>
      <c r="D582" t="s">
        <v>28</v>
      </c>
      <c r="E582" t="s">
        <v>46</v>
      </c>
      <c r="F582">
        <v>67115551</v>
      </c>
      <c r="G582">
        <v>2114829</v>
      </c>
    </row>
    <row r="583" spans="2:7" x14ac:dyDescent="0.3">
      <c r="B583" t="str">
        <f t="shared" si="18"/>
        <v>Q7o</v>
      </c>
      <c r="C583" t="str">
        <f t="shared" si="19"/>
        <v>QS 7H</v>
      </c>
      <c r="D583" t="s">
        <v>28</v>
      </c>
      <c r="E583" t="s">
        <v>47</v>
      </c>
      <c r="F583">
        <v>67115551</v>
      </c>
      <c r="G583">
        <v>2106637</v>
      </c>
    </row>
    <row r="584" spans="2:7" x14ac:dyDescent="0.3">
      <c r="B584" t="str">
        <f t="shared" si="18"/>
        <v>J7o</v>
      </c>
      <c r="C584" t="str">
        <f t="shared" si="19"/>
        <v>JC 7D</v>
      </c>
      <c r="D584" t="s">
        <v>29</v>
      </c>
      <c r="E584" t="s">
        <v>46</v>
      </c>
      <c r="F584">
        <v>33589533</v>
      </c>
      <c r="G584">
        <v>2114829</v>
      </c>
    </row>
    <row r="585" spans="2:7" x14ac:dyDescent="0.3">
      <c r="B585" t="str">
        <f t="shared" si="18"/>
        <v>J7o</v>
      </c>
      <c r="C585" t="str">
        <f t="shared" si="19"/>
        <v>JC 7H</v>
      </c>
      <c r="D585" t="s">
        <v>29</v>
      </c>
      <c r="E585" t="s">
        <v>47</v>
      </c>
      <c r="F585">
        <v>33589533</v>
      </c>
      <c r="G585">
        <v>2106637</v>
      </c>
    </row>
    <row r="586" spans="2:7" x14ac:dyDescent="0.3">
      <c r="B586" t="str">
        <f t="shared" si="18"/>
        <v>J7o</v>
      </c>
      <c r="C586" t="str">
        <f t="shared" si="19"/>
        <v>JC 7S</v>
      </c>
      <c r="D586" t="s">
        <v>29</v>
      </c>
      <c r="E586" t="s">
        <v>48</v>
      </c>
      <c r="F586">
        <v>33589533</v>
      </c>
      <c r="G586">
        <v>2102541</v>
      </c>
    </row>
    <row r="587" spans="2:7" x14ac:dyDescent="0.3">
      <c r="B587" t="str">
        <f t="shared" si="18"/>
        <v>J7o</v>
      </c>
      <c r="C587" t="str">
        <f t="shared" si="19"/>
        <v>JD 7C</v>
      </c>
      <c r="D587" t="s">
        <v>30</v>
      </c>
      <c r="E587" t="s">
        <v>45</v>
      </c>
      <c r="F587">
        <v>33573149</v>
      </c>
      <c r="G587">
        <v>2131213</v>
      </c>
    </row>
    <row r="588" spans="2:7" x14ac:dyDescent="0.3">
      <c r="B588" t="str">
        <f t="shared" si="18"/>
        <v>J7o</v>
      </c>
      <c r="C588" t="str">
        <f t="shared" si="19"/>
        <v>JD 7H</v>
      </c>
      <c r="D588" t="s">
        <v>30</v>
      </c>
      <c r="E588" t="s">
        <v>47</v>
      </c>
      <c r="F588">
        <v>33573149</v>
      </c>
      <c r="G588">
        <v>2106637</v>
      </c>
    </row>
    <row r="589" spans="2:7" x14ac:dyDescent="0.3">
      <c r="B589" t="str">
        <f t="shared" si="18"/>
        <v>J7o</v>
      </c>
      <c r="C589" t="str">
        <f t="shared" si="19"/>
        <v>JD 7S</v>
      </c>
      <c r="D589" t="s">
        <v>30</v>
      </c>
      <c r="E589" t="s">
        <v>48</v>
      </c>
      <c r="F589">
        <v>33573149</v>
      </c>
      <c r="G589">
        <v>2102541</v>
      </c>
    </row>
    <row r="590" spans="2:7" x14ac:dyDescent="0.3">
      <c r="B590" t="str">
        <f t="shared" si="18"/>
        <v>J7o</v>
      </c>
      <c r="C590" t="str">
        <f t="shared" si="19"/>
        <v>JH 7C</v>
      </c>
      <c r="D590" t="s">
        <v>31</v>
      </c>
      <c r="E590" t="s">
        <v>45</v>
      </c>
      <c r="F590">
        <v>33564957</v>
      </c>
      <c r="G590">
        <v>2131213</v>
      </c>
    </row>
    <row r="591" spans="2:7" x14ac:dyDescent="0.3">
      <c r="B591" t="str">
        <f t="shared" si="18"/>
        <v>J7o</v>
      </c>
      <c r="C591" t="str">
        <f t="shared" si="19"/>
        <v>JH 7D</v>
      </c>
      <c r="D591" t="s">
        <v>31</v>
      </c>
      <c r="E591" t="s">
        <v>46</v>
      </c>
      <c r="F591">
        <v>33564957</v>
      </c>
      <c r="G591">
        <v>2114829</v>
      </c>
    </row>
    <row r="592" spans="2:7" x14ac:dyDescent="0.3">
      <c r="B592" t="str">
        <f t="shared" si="18"/>
        <v>J7o</v>
      </c>
      <c r="C592" t="str">
        <f t="shared" si="19"/>
        <v>JH 7S</v>
      </c>
      <c r="D592" t="s">
        <v>31</v>
      </c>
      <c r="E592" t="s">
        <v>48</v>
      </c>
      <c r="F592">
        <v>33564957</v>
      </c>
      <c r="G592">
        <v>2102541</v>
      </c>
    </row>
    <row r="593" spans="2:7" x14ac:dyDescent="0.3">
      <c r="B593" t="str">
        <f t="shared" si="18"/>
        <v>J7o</v>
      </c>
      <c r="C593" t="str">
        <f t="shared" si="19"/>
        <v>JS 7C</v>
      </c>
      <c r="D593" t="s">
        <v>32</v>
      </c>
      <c r="E593" t="s">
        <v>45</v>
      </c>
      <c r="F593">
        <v>33560861</v>
      </c>
      <c r="G593">
        <v>2131213</v>
      </c>
    </row>
    <row r="594" spans="2:7" x14ac:dyDescent="0.3">
      <c r="B594" t="str">
        <f t="shared" si="18"/>
        <v>J7o</v>
      </c>
      <c r="C594" t="str">
        <f t="shared" si="19"/>
        <v>JS 7D</v>
      </c>
      <c r="D594" t="s">
        <v>32</v>
      </c>
      <c r="E594" t="s">
        <v>46</v>
      </c>
      <c r="F594">
        <v>33560861</v>
      </c>
      <c r="G594">
        <v>2114829</v>
      </c>
    </row>
    <row r="595" spans="2:7" x14ac:dyDescent="0.3">
      <c r="B595" t="str">
        <f t="shared" si="18"/>
        <v>J7o</v>
      </c>
      <c r="C595" t="str">
        <f t="shared" si="19"/>
        <v>JS 7H</v>
      </c>
      <c r="D595" t="s">
        <v>32</v>
      </c>
      <c r="E595" t="s">
        <v>47</v>
      </c>
      <c r="F595">
        <v>33560861</v>
      </c>
      <c r="G595">
        <v>2106637</v>
      </c>
    </row>
    <row r="596" spans="2:7" x14ac:dyDescent="0.3">
      <c r="B596" t="str">
        <f t="shared" si="18"/>
        <v>T7o</v>
      </c>
      <c r="C596" t="str">
        <f t="shared" si="19"/>
        <v>TC 7D</v>
      </c>
      <c r="D596" t="s">
        <v>33</v>
      </c>
      <c r="E596" t="s">
        <v>46</v>
      </c>
      <c r="F596">
        <v>16812055</v>
      </c>
      <c r="G596">
        <v>2114829</v>
      </c>
    </row>
    <row r="597" spans="2:7" x14ac:dyDescent="0.3">
      <c r="B597" t="str">
        <f t="shared" si="18"/>
        <v>T7o</v>
      </c>
      <c r="C597" t="str">
        <f t="shared" si="19"/>
        <v>TC 7H</v>
      </c>
      <c r="D597" t="s">
        <v>33</v>
      </c>
      <c r="E597" t="s">
        <v>47</v>
      </c>
      <c r="F597">
        <v>16812055</v>
      </c>
      <c r="G597">
        <v>2106637</v>
      </c>
    </row>
    <row r="598" spans="2:7" x14ac:dyDescent="0.3">
      <c r="B598" t="str">
        <f t="shared" si="18"/>
        <v>T7o</v>
      </c>
      <c r="C598" t="str">
        <f t="shared" si="19"/>
        <v>TC 7S</v>
      </c>
      <c r="D598" t="s">
        <v>33</v>
      </c>
      <c r="E598" t="s">
        <v>48</v>
      </c>
      <c r="F598">
        <v>16812055</v>
      </c>
      <c r="G598">
        <v>2102541</v>
      </c>
    </row>
    <row r="599" spans="2:7" x14ac:dyDescent="0.3">
      <c r="B599" t="str">
        <f t="shared" si="18"/>
        <v>T7o</v>
      </c>
      <c r="C599" t="str">
        <f t="shared" si="19"/>
        <v>TD 7C</v>
      </c>
      <c r="D599" t="s">
        <v>34</v>
      </c>
      <c r="E599" t="s">
        <v>45</v>
      </c>
      <c r="F599">
        <v>16795671</v>
      </c>
      <c r="G599">
        <v>2131213</v>
      </c>
    </row>
    <row r="600" spans="2:7" x14ac:dyDescent="0.3">
      <c r="B600" t="str">
        <f t="shared" si="18"/>
        <v>T7o</v>
      </c>
      <c r="C600" t="str">
        <f t="shared" si="19"/>
        <v>TD 7H</v>
      </c>
      <c r="D600" t="s">
        <v>34</v>
      </c>
      <c r="E600" t="s">
        <v>47</v>
      </c>
      <c r="F600">
        <v>16795671</v>
      </c>
      <c r="G600">
        <v>2106637</v>
      </c>
    </row>
    <row r="601" spans="2:7" x14ac:dyDescent="0.3">
      <c r="B601" t="str">
        <f t="shared" si="18"/>
        <v>T7o</v>
      </c>
      <c r="C601" t="str">
        <f t="shared" si="19"/>
        <v>TD 7S</v>
      </c>
      <c r="D601" t="s">
        <v>34</v>
      </c>
      <c r="E601" t="s">
        <v>48</v>
      </c>
      <c r="F601">
        <v>16795671</v>
      </c>
      <c r="G601">
        <v>2102541</v>
      </c>
    </row>
    <row r="602" spans="2:7" x14ac:dyDescent="0.3">
      <c r="B602" t="str">
        <f t="shared" si="18"/>
        <v>T7o</v>
      </c>
      <c r="C602" t="str">
        <f t="shared" si="19"/>
        <v>TH 7C</v>
      </c>
      <c r="D602" t="s">
        <v>35</v>
      </c>
      <c r="E602" t="s">
        <v>45</v>
      </c>
      <c r="F602">
        <v>16787479</v>
      </c>
      <c r="G602">
        <v>2131213</v>
      </c>
    </row>
    <row r="603" spans="2:7" x14ac:dyDescent="0.3">
      <c r="B603" t="str">
        <f t="shared" si="18"/>
        <v>T7o</v>
      </c>
      <c r="C603" t="str">
        <f t="shared" si="19"/>
        <v>TH 7D</v>
      </c>
      <c r="D603" t="s">
        <v>35</v>
      </c>
      <c r="E603" t="s">
        <v>46</v>
      </c>
      <c r="F603">
        <v>16787479</v>
      </c>
      <c r="G603">
        <v>2114829</v>
      </c>
    </row>
    <row r="604" spans="2:7" x14ac:dyDescent="0.3">
      <c r="B604" t="str">
        <f t="shared" si="18"/>
        <v>T7o</v>
      </c>
      <c r="C604" t="str">
        <f t="shared" si="19"/>
        <v>TH 7S</v>
      </c>
      <c r="D604" t="s">
        <v>35</v>
      </c>
      <c r="E604" t="s">
        <v>48</v>
      </c>
      <c r="F604">
        <v>16787479</v>
      </c>
      <c r="G604">
        <v>2102541</v>
      </c>
    </row>
    <row r="605" spans="2:7" x14ac:dyDescent="0.3">
      <c r="B605" t="str">
        <f t="shared" si="18"/>
        <v>T7o</v>
      </c>
      <c r="C605" t="str">
        <f t="shared" si="19"/>
        <v>TS 7C</v>
      </c>
      <c r="D605" t="s">
        <v>36</v>
      </c>
      <c r="E605" t="s">
        <v>45</v>
      </c>
      <c r="F605">
        <v>16783383</v>
      </c>
      <c r="G605">
        <v>2131213</v>
      </c>
    </row>
    <row r="606" spans="2:7" x14ac:dyDescent="0.3">
      <c r="B606" t="str">
        <f t="shared" si="18"/>
        <v>T7o</v>
      </c>
      <c r="C606" t="str">
        <f t="shared" si="19"/>
        <v>TS 7D</v>
      </c>
      <c r="D606" t="s">
        <v>36</v>
      </c>
      <c r="E606" t="s">
        <v>46</v>
      </c>
      <c r="F606">
        <v>16783383</v>
      </c>
      <c r="G606">
        <v>2114829</v>
      </c>
    </row>
    <row r="607" spans="2:7" x14ac:dyDescent="0.3">
      <c r="B607" t="str">
        <f t="shared" si="18"/>
        <v>T7o</v>
      </c>
      <c r="C607" t="str">
        <f t="shared" si="19"/>
        <v>TS 7H</v>
      </c>
      <c r="D607" t="s">
        <v>36</v>
      </c>
      <c r="E607" t="s">
        <v>47</v>
      </c>
      <c r="F607">
        <v>16783383</v>
      </c>
      <c r="G607">
        <v>2106637</v>
      </c>
    </row>
    <row r="608" spans="2:7" x14ac:dyDescent="0.3">
      <c r="B608" t="str">
        <f t="shared" si="18"/>
        <v>97o</v>
      </c>
      <c r="C608" t="str">
        <f t="shared" si="19"/>
        <v>9C 7D</v>
      </c>
      <c r="D608" t="s">
        <v>37</v>
      </c>
      <c r="E608" t="s">
        <v>46</v>
      </c>
      <c r="F608">
        <v>8423187</v>
      </c>
      <c r="G608">
        <v>2114829</v>
      </c>
    </row>
    <row r="609" spans="2:7" x14ac:dyDescent="0.3">
      <c r="B609" t="str">
        <f t="shared" si="18"/>
        <v>97o</v>
      </c>
      <c r="C609" t="str">
        <f t="shared" si="19"/>
        <v>9C 7H</v>
      </c>
      <c r="D609" t="s">
        <v>37</v>
      </c>
      <c r="E609" t="s">
        <v>47</v>
      </c>
      <c r="F609">
        <v>8423187</v>
      </c>
      <c r="G609">
        <v>2106637</v>
      </c>
    </row>
    <row r="610" spans="2:7" x14ac:dyDescent="0.3">
      <c r="B610" t="str">
        <f t="shared" si="18"/>
        <v>97o</v>
      </c>
      <c r="C610" t="str">
        <f t="shared" si="19"/>
        <v>9C 7S</v>
      </c>
      <c r="D610" t="s">
        <v>37</v>
      </c>
      <c r="E610" t="s">
        <v>48</v>
      </c>
      <c r="F610">
        <v>8423187</v>
      </c>
      <c r="G610">
        <v>2102541</v>
      </c>
    </row>
    <row r="611" spans="2:7" x14ac:dyDescent="0.3">
      <c r="B611" t="str">
        <f t="shared" si="18"/>
        <v>97o</v>
      </c>
      <c r="C611" t="str">
        <f t="shared" si="19"/>
        <v>9D 7C</v>
      </c>
      <c r="D611" t="s">
        <v>38</v>
      </c>
      <c r="E611" t="s">
        <v>45</v>
      </c>
      <c r="F611">
        <v>8406803</v>
      </c>
      <c r="G611">
        <v>2131213</v>
      </c>
    </row>
    <row r="612" spans="2:7" x14ac:dyDescent="0.3">
      <c r="B612" t="str">
        <f t="shared" si="18"/>
        <v>97o</v>
      </c>
      <c r="C612" t="str">
        <f t="shared" si="19"/>
        <v>9D 7H</v>
      </c>
      <c r="D612" t="s">
        <v>38</v>
      </c>
      <c r="E612" t="s">
        <v>47</v>
      </c>
      <c r="F612">
        <v>8406803</v>
      </c>
      <c r="G612">
        <v>2106637</v>
      </c>
    </row>
    <row r="613" spans="2:7" x14ac:dyDescent="0.3">
      <c r="B613" t="str">
        <f t="shared" si="18"/>
        <v>97o</v>
      </c>
      <c r="C613" t="str">
        <f t="shared" si="19"/>
        <v>9D 7S</v>
      </c>
      <c r="D613" t="s">
        <v>38</v>
      </c>
      <c r="E613" t="s">
        <v>48</v>
      </c>
      <c r="F613">
        <v>8406803</v>
      </c>
      <c r="G613">
        <v>2102541</v>
      </c>
    </row>
    <row r="614" spans="2:7" x14ac:dyDescent="0.3">
      <c r="B614" t="str">
        <f t="shared" si="18"/>
        <v>97o</v>
      </c>
      <c r="C614" t="str">
        <f t="shared" si="19"/>
        <v>9H 7C</v>
      </c>
      <c r="D614" t="s">
        <v>39</v>
      </c>
      <c r="E614" t="s">
        <v>45</v>
      </c>
      <c r="F614">
        <v>8398611</v>
      </c>
      <c r="G614">
        <v>2131213</v>
      </c>
    </row>
    <row r="615" spans="2:7" x14ac:dyDescent="0.3">
      <c r="B615" t="str">
        <f t="shared" si="18"/>
        <v>97o</v>
      </c>
      <c r="C615" t="str">
        <f t="shared" si="19"/>
        <v>9H 7D</v>
      </c>
      <c r="D615" t="s">
        <v>39</v>
      </c>
      <c r="E615" t="s">
        <v>46</v>
      </c>
      <c r="F615">
        <v>8398611</v>
      </c>
      <c r="G615">
        <v>2114829</v>
      </c>
    </row>
    <row r="616" spans="2:7" x14ac:dyDescent="0.3">
      <c r="B616" t="str">
        <f t="shared" si="18"/>
        <v>97o</v>
      </c>
      <c r="C616" t="str">
        <f t="shared" si="19"/>
        <v>9H 7S</v>
      </c>
      <c r="D616" t="s">
        <v>39</v>
      </c>
      <c r="E616" t="s">
        <v>48</v>
      </c>
      <c r="F616">
        <v>8398611</v>
      </c>
      <c r="G616">
        <v>2102541</v>
      </c>
    </row>
    <row r="617" spans="2:7" x14ac:dyDescent="0.3">
      <c r="B617" t="str">
        <f t="shared" si="18"/>
        <v>97o</v>
      </c>
      <c r="C617" t="str">
        <f t="shared" si="19"/>
        <v>9S 7C</v>
      </c>
      <c r="D617" t="s">
        <v>40</v>
      </c>
      <c r="E617" t="s">
        <v>45</v>
      </c>
      <c r="F617">
        <v>8394515</v>
      </c>
      <c r="G617">
        <v>2131213</v>
      </c>
    </row>
    <row r="618" spans="2:7" x14ac:dyDescent="0.3">
      <c r="B618" t="str">
        <f t="shared" si="18"/>
        <v>97o</v>
      </c>
      <c r="C618" t="str">
        <f t="shared" si="19"/>
        <v>9S 7D</v>
      </c>
      <c r="D618" t="s">
        <v>40</v>
      </c>
      <c r="E618" t="s">
        <v>46</v>
      </c>
      <c r="F618">
        <v>8394515</v>
      </c>
      <c r="G618">
        <v>2114829</v>
      </c>
    </row>
    <row r="619" spans="2:7" x14ac:dyDescent="0.3">
      <c r="B619" t="str">
        <f t="shared" si="18"/>
        <v>97o</v>
      </c>
      <c r="C619" t="str">
        <f t="shared" si="19"/>
        <v>9S 7H</v>
      </c>
      <c r="D619" t="s">
        <v>40</v>
      </c>
      <c r="E619" t="s">
        <v>47</v>
      </c>
      <c r="F619">
        <v>8394515</v>
      </c>
      <c r="G619">
        <v>2106637</v>
      </c>
    </row>
    <row r="620" spans="2:7" x14ac:dyDescent="0.3">
      <c r="B620" t="str">
        <f t="shared" si="18"/>
        <v>87o</v>
      </c>
      <c r="C620" t="str">
        <f t="shared" si="19"/>
        <v>8C 7D</v>
      </c>
      <c r="D620" t="s">
        <v>41</v>
      </c>
      <c r="E620" t="s">
        <v>46</v>
      </c>
      <c r="F620">
        <v>4228625</v>
      </c>
      <c r="G620">
        <v>2114829</v>
      </c>
    </row>
    <row r="621" spans="2:7" x14ac:dyDescent="0.3">
      <c r="B621" t="str">
        <f t="shared" si="18"/>
        <v>87o</v>
      </c>
      <c r="C621" t="str">
        <f t="shared" si="19"/>
        <v>8C 7H</v>
      </c>
      <c r="D621" t="s">
        <v>41</v>
      </c>
      <c r="E621" t="s">
        <v>47</v>
      </c>
      <c r="F621">
        <v>4228625</v>
      </c>
      <c r="G621">
        <v>2106637</v>
      </c>
    </row>
    <row r="622" spans="2:7" x14ac:dyDescent="0.3">
      <c r="B622" t="str">
        <f t="shared" si="18"/>
        <v>87o</v>
      </c>
      <c r="C622" t="str">
        <f t="shared" si="19"/>
        <v>8C 7S</v>
      </c>
      <c r="D622" t="s">
        <v>41</v>
      </c>
      <c r="E622" t="s">
        <v>48</v>
      </c>
      <c r="F622">
        <v>4228625</v>
      </c>
      <c r="G622">
        <v>2102541</v>
      </c>
    </row>
    <row r="623" spans="2:7" x14ac:dyDescent="0.3">
      <c r="B623" t="str">
        <f t="shared" si="18"/>
        <v>87o</v>
      </c>
      <c r="C623" t="str">
        <f t="shared" si="19"/>
        <v>8D 7C</v>
      </c>
      <c r="D623" t="s">
        <v>42</v>
      </c>
      <c r="E623" t="s">
        <v>45</v>
      </c>
      <c r="F623">
        <v>4212241</v>
      </c>
      <c r="G623">
        <v>2131213</v>
      </c>
    </row>
    <row r="624" spans="2:7" x14ac:dyDescent="0.3">
      <c r="B624" t="str">
        <f t="shared" si="18"/>
        <v>87o</v>
      </c>
      <c r="C624" t="str">
        <f t="shared" si="19"/>
        <v>8D 7H</v>
      </c>
      <c r="D624" t="s">
        <v>42</v>
      </c>
      <c r="E624" t="s">
        <v>47</v>
      </c>
      <c r="F624">
        <v>4212241</v>
      </c>
      <c r="G624">
        <v>2106637</v>
      </c>
    </row>
    <row r="625" spans="2:7" x14ac:dyDescent="0.3">
      <c r="B625" t="str">
        <f t="shared" si="18"/>
        <v>87o</v>
      </c>
      <c r="C625" t="str">
        <f t="shared" si="19"/>
        <v>8D 7S</v>
      </c>
      <c r="D625" t="s">
        <v>42</v>
      </c>
      <c r="E625" t="s">
        <v>48</v>
      </c>
      <c r="F625">
        <v>4212241</v>
      </c>
      <c r="G625">
        <v>2102541</v>
      </c>
    </row>
    <row r="626" spans="2:7" x14ac:dyDescent="0.3">
      <c r="B626" t="str">
        <f t="shared" si="18"/>
        <v>87o</v>
      </c>
      <c r="C626" t="str">
        <f t="shared" si="19"/>
        <v>8H 7C</v>
      </c>
      <c r="D626" t="s">
        <v>43</v>
      </c>
      <c r="E626" t="s">
        <v>45</v>
      </c>
      <c r="F626">
        <v>4204049</v>
      </c>
      <c r="G626">
        <v>2131213</v>
      </c>
    </row>
    <row r="627" spans="2:7" x14ac:dyDescent="0.3">
      <c r="B627" t="str">
        <f t="shared" si="18"/>
        <v>87o</v>
      </c>
      <c r="C627" t="str">
        <f t="shared" si="19"/>
        <v>8H 7D</v>
      </c>
      <c r="D627" t="s">
        <v>43</v>
      </c>
      <c r="E627" t="s">
        <v>46</v>
      </c>
      <c r="F627">
        <v>4204049</v>
      </c>
      <c r="G627">
        <v>2114829</v>
      </c>
    </row>
    <row r="628" spans="2:7" x14ac:dyDescent="0.3">
      <c r="B628" t="str">
        <f t="shared" si="18"/>
        <v>87o</v>
      </c>
      <c r="C628" t="str">
        <f t="shared" si="19"/>
        <v>8H 7S</v>
      </c>
      <c r="D628" t="s">
        <v>43</v>
      </c>
      <c r="E628" t="s">
        <v>48</v>
      </c>
      <c r="F628">
        <v>4204049</v>
      </c>
      <c r="G628">
        <v>2102541</v>
      </c>
    </row>
    <row r="629" spans="2:7" x14ac:dyDescent="0.3">
      <c r="B629" t="str">
        <f t="shared" si="18"/>
        <v>87o</v>
      </c>
      <c r="C629" t="str">
        <f t="shared" si="19"/>
        <v>8S 7C</v>
      </c>
      <c r="D629" t="s">
        <v>44</v>
      </c>
      <c r="E629" t="s">
        <v>45</v>
      </c>
      <c r="F629">
        <v>4199953</v>
      </c>
      <c r="G629">
        <v>2131213</v>
      </c>
    </row>
    <row r="630" spans="2:7" x14ac:dyDescent="0.3">
      <c r="B630" t="str">
        <f t="shared" si="18"/>
        <v>87o</v>
      </c>
      <c r="C630" t="str">
        <f t="shared" si="19"/>
        <v>8S 7D</v>
      </c>
      <c r="D630" t="s">
        <v>44</v>
      </c>
      <c r="E630" t="s">
        <v>46</v>
      </c>
      <c r="F630">
        <v>4199953</v>
      </c>
      <c r="G630">
        <v>2114829</v>
      </c>
    </row>
    <row r="631" spans="2:7" x14ac:dyDescent="0.3">
      <c r="B631" t="str">
        <f t="shared" si="18"/>
        <v>87o</v>
      </c>
      <c r="C631" t="str">
        <f t="shared" si="19"/>
        <v>8S 7H</v>
      </c>
      <c r="D631" t="s">
        <v>44</v>
      </c>
      <c r="E631" t="s">
        <v>47</v>
      </c>
      <c r="F631">
        <v>4199953</v>
      </c>
      <c r="G631">
        <v>2106637</v>
      </c>
    </row>
    <row r="632" spans="2:7" x14ac:dyDescent="0.3">
      <c r="B632" t="str">
        <f t="shared" si="18"/>
        <v>77</v>
      </c>
      <c r="C632" t="str">
        <f t="shared" si="19"/>
        <v>7C 7D</v>
      </c>
      <c r="D632" t="s">
        <v>45</v>
      </c>
      <c r="E632" t="s">
        <v>46</v>
      </c>
      <c r="F632">
        <v>2131213</v>
      </c>
      <c r="G632">
        <v>2114829</v>
      </c>
    </row>
    <row r="633" spans="2:7" x14ac:dyDescent="0.3">
      <c r="B633" t="str">
        <f t="shared" si="18"/>
        <v>77</v>
      </c>
      <c r="C633" t="str">
        <f t="shared" si="19"/>
        <v>7C 7H</v>
      </c>
      <c r="D633" t="s">
        <v>45</v>
      </c>
      <c r="E633" t="s">
        <v>47</v>
      </c>
      <c r="F633">
        <v>2131213</v>
      </c>
      <c r="G633">
        <v>2106637</v>
      </c>
    </row>
    <row r="634" spans="2:7" x14ac:dyDescent="0.3">
      <c r="B634" t="str">
        <f t="shared" si="18"/>
        <v>77</v>
      </c>
      <c r="C634" t="str">
        <f t="shared" si="19"/>
        <v>7C 7S</v>
      </c>
      <c r="D634" t="s">
        <v>45</v>
      </c>
      <c r="E634" t="s">
        <v>48</v>
      </c>
      <c r="F634">
        <v>2131213</v>
      </c>
      <c r="G634">
        <v>2102541</v>
      </c>
    </row>
    <row r="635" spans="2:7" x14ac:dyDescent="0.3">
      <c r="B635" t="str">
        <f t="shared" si="18"/>
        <v>77</v>
      </c>
      <c r="C635" t="str">
        <f t="shared" si="19"/>
        <v>7D 7H</v>
      </c>
      <c r="D635" t="s">
        <v>46</v>
      </c>
      <c r="E635" t="s">
        <v>47</v>
      </c>
      <c r="F635">
        <v>2114829</v>
      </c>
      <c r="G635">
        <v>2106637</v>
      </c>
    </row>
    <row r="636" spans="2:7" x14ac:dyDescent="0.3">
      <c r="B636" t="str">
        <f t="shared" si="18"/>
        <v>77</v>
      </c>
      <c r="C636" t="str">
        <f t="shared" si="19"/>
        <v>7D 7S</v>
      </c>
      <c r="D636" t="s">
        <v>46</v>
      </c>
      <c r="E636" t="s">
        <v>48</v>
      </c>
      <c r="F636">
        <v>2114829</v>
      </c>
      <c r="G636">
        <v>2102541</v>
      </c>
    </row>
    <row r="637" spans="2:7" x14ac:dyDescent="0.3">
      <c r="B637" t="str">
        <f t="shared" si="18"/>
        <v>77</v>
      </c>
      <c r="C637" t="str">
        <f t="shared" si="19"/>
        <v>7H 7S</v>
      </c>
      <c r="D637" t="s">
        <v>47</v>
      </c>
      <c r="E637" t="s">
        <v>48</v>
      </c>
      <c r="F637">
        <v>2106637</v>
      </c>
      <c r="G637">
        <v>2102541</v>
      </c>
    </row>
    <row r="638" spans="2:7" x14ac:dyDescent="0.3">
      <c r="B638" t="str">
        <f t="shared" si="18"/>
        <v>76s</v>
      </c>
      <c r="C638" t="str">
        <f t="shared" si="19"/>
        <v>7C 6C</v>
      </c>
      <c r="D638" t="s">
        <v>45</v>
      </c>
      <c r="E638" t="s">
        <v>49</v>
      </c>
      <c r="F638">
        <v>2131213</v>
      </c>
      <c r="G638">
        <v>1082379</v>
      </c>
    </row>
    <row r="639" spans="2:7" x14ac:dyDescent="0.3">
      <c r="B639" t="str">
        <f t="shared" si="18"/>
        <v>76s</v>
      </c>
      <c r="C639" t="str">
        <f t="shared" si="19"/>
        <v>7D 6D</v>
      </c>
      <c r="D639" t="s">
        <v>46</v>
      </c>
      <c r="E639" t="s">
        <v>50</v>
      </c>
      <c r="F639">
        <v>2114829</v>
      </c>
      <c r="G639">
        <v>1065995</v>
      </c>
    </row>
    <row r="640" spans="2:7" x14ac:dyDescent="0.3">
      <c r="B640" t="str">
        <f t="shared" si="18"/>
        <v>76s</v>
      </c>
      <c r="C640" t="str">
        <f t="shared" si="19"/>
        <v>7H 6H</v>
      </c>
      <c r="D640" t="s">
        <v>47</v>
      </c>
      <c r="E640" t="s">
        <v>51</v>
      </c>
      <c r="F640">
        <v>2106637</v>
      </c>
      <c r="G640">
        <v>1057803</v>
      </c>
    </row>
    <row r="641" spans="2:7" x14ac:dyDescent="0.3">
      <c r="B641" t="str">
        <f t="shared" si="18"/>
        <v>76s</v>
      </c>
      <c r="C641" t="str">
        <f t="shared" si="19"/>
        <v>7S 6S</v>
      </c>
      <c r="D641" t="s">
        <v>48</v>
      </c>
      <c r="E641" t="s">
        <v>52</v>
      </c>
      <c r="F641">
        <v>2102541</v>
      </c>
      <c r="G641">
        <v>1053707</v>
      </c>
    </row>
    <row r="642" spans="2:7" x14ac:dyDescent="0.3">
      <c r="B642" t="str">
        <f t="shared" si="18"/>
        <v>75s</v>
      </c>
      <c r="C642" t="str">
        <f t="shared" si="19"/>
        <v>7C 5C</v>
      </c>
      <c r="D642" t="s">
        <v>45</v>
      </c>
      <c r="E642" t="s">
        <v>53</v>
      </c>
      <c r="F642">
        <v>2131213</v>
      </c>
      <c r="G642">
        <v>557831</v>
      </c>
    </row>
    <row r="643" spans="2:7" x14ac:dyDescent="0.3">
      <c r="B643" t="str">
        <f t="shared" ref="B643:B706" si="20">LEFT(D643,1)&amp;LEFT(E643,1)&amp;IF(LEFT(D643,1)=LEFT(E643,1), "", IF(RIGHT(D643,1)=RIGHT(E643,1), "s", "o"))</f>
        <v>75s</v>
      </c>
      <c r="C643" t="str">
        <f t="shared" ref="C643:C706" si="21">UPPER(D643&amp;" "&amp;E643)</f>
        <v>7D 5D</v>
      </c>
      <c r="D643" t="s">
        <v>46</v>
      </c>
      <c r="E643" t="s">
        <v>54</v>
      </c>
      <c r="F643">
        <v>2114829</v>
      </c>
      <c r="G643">
        <v>541447</v>
      </c>
    </row>
    <row r="644" spans="2:7" x14ac:dyDescent="0.3">
      <c r="B644" t="str">
        <f t="shared" si="20"/>
        <v>75s</v>
      </c>
      <c r="C644" t="str">
        <f t="shared" si="21"/>
        <v>7H 5H</v>
      </c>
      <c r="D644" t="s">
        <v>47</v>
      </c>
      <c r="E644" t="s">
        <v>55</v>
      </c>
      <c r="F644">
        <v>2106637</v>
      </c>
      <c r="G644">
        <v>533255</v>
      </c>
    </row>
    <row r="645" spans="2:7" x14ac:dyDescent="0.3">
      <c r="B645" t="str">
        <f t="shared" si="20"/>
        <v>75s</v>
      </c>
      <c r="C645" t="str">
        <f t="shared" si="21"/>
        <v>7S 5S</v>
      </c>
      <c r="D645" t="s">
        <v>48</v>
      </c>
      <c r="E645" t="s">
        <v>56</v>
      </c>
      <c r="F645">
        <v>2102541</v>
      </c>
      <c r="G645">
        <v>529159</v>
      </c>
    </row>
    <row r="646" spans="2:7" x14ac:dyDescent="0.3">
      <c r="B646" t="str">
        <f t="shared" si="20"/>
        <v>74s</v>
      </c>
      <c r="C646" t="str">
        <f t="shared" si="21"/>
        <v>7C 4C</v>
      </c>
      <c r="D646" t="s">
        <v>45</v>
      </c>
      <c r="E646" t="s">
        <v>57</v>
      </c>
      <c r="F646">
        <v>2131213</v>
      </c>
      <c r="G646">
        <v>295429</v>
      </c>
    </row>
    <row r="647" spans="2:7" x14ac:dyDescent="0.3">
      <c r="B647" t="str">
        <f t="shared" si="20"/>
        <v>74s</v>
      </c>
      <c r="C647" t="str">
        <f t="shared" si="21"/>
        <v>7D 4D</v>
      </c>
      <c r="D647" t="s">
        <v>46</v>
      </c>
      <c r="E647" t="s">
        <v>58</v>
      </c>
      <c r="F647">
        <v>2114829</v>
      </c>
      <c r="G647">
        <v>279045</v>
      </c>
    </row>
    <row r="648" spans="2:7" x14ac:dyDescent="0.3">
      <c r="B648" t="str">
        <f t="shared" si="20"/>
        <v>74s</v>
      </c>
      <c r="C648" t="str">
        <f t="shared" si="21"/>
        <v>7H 4H</v>
      </c>
      <c r="D648" t="s">
        <v>47</v>
      </c>
      <c r="E648" t="s">
        <v>59</v>
      </c>
      <c r="F648">
        <v>2106637</v>
      </c>
      <c r="G648">
        <v>270853</v>
      </c>
    </row>
    <row r="649" spans="2:7" x14ac:dyDescent="0.3">
      <c r="B649" t="str">
        <f t="shared" si="20"/>
        <v>74s</v>
      </c>
      <c r="C649" t="str">
        <f t="shared" si="21"/>
        <v>7S 4S</v>
      </c>
      <c r="D649" t="s">
        <v>48</v>
      </c>
      <c r="E649" t="s">
        <v>60</v>
      </c>
      <c r="F649">
        <v>2102541</v>
      </c>
      <c r="G649">
        <v>266757</v>
      </c>
    </row>
    <row r="650" spans="2:7" x14ac:dyDescent="0.3">
      <c r="B650" t="str">
        <f t="shared" si="20"/>
        <v>73s</v>
      </c>
      <c r="C650" t="str">
        <f t="shared" si="21"/>
        <v>7C 3C</v>
      </c>
      <c r="D650" t="s">
        <v>45</v>
      </c>
      <c r="E650" t="s">
        <v>61</v>
      </c>
      <c r="F650">
        <v>2131213</v>
      </c>
      <c r="G650">
        <v>164099</v>
      </c>
    </row>
    <row r="651" spans="2:7" x14ac:dyDescent="0.3">
      <c r="B651" t="str">
        <f t="shared" si="20"/>
        <v>73s</v>
      </c>
      <c r="C651" t="str">
        <f t="shared" si="21"/>
        <v>7D 3D</v>
      </c>
      <c r="D651" t="s">
        <v>46</v>
      </c>
      <c r="E651" t="s">
        <v>62</v>
      </c>
      <c r="F651">
        <v>2114829</v>
      </c>
      <c r="G651">
        <v>147715</v>
      </c>
    </row>
    <row r="652" spans="2:7" x14ac:dyDescent="0.3">
      <c r="B652" t="str">
        <f t="shared" si="20"/>
        <v>73s</v>
      </c>
      <c r="C652" t="str">
        <f t="shared" si="21"/>
        <v>7H 3H</v>
      </c>
      <c r="D652" t="s">
        <v>47</v>
      </c>
      <c r="E652" t="s">
        <v>63</v>
      </c>
      <c r="F652">
        <v>2106637</v>
      </c>
      <c r="G652">
        <v>139523</v>
      </c>
    </row>
    <row r="653" spans="2:7" x14ac:dyDescent="0.3">
      <c r="B653" t="str">
        <f t="shared" si="20"/>
        <v>73s</v>
      </c>
      <c r="C653" t="str">
        <f t="shared" si="21"/>
        <v>7S 3S</v>
      </c>
      <c r="D653" t="s">
        <v>48</v>
      </c>
      <c r="E653" t="s">
        <v>64</v>
      </c>
      <c r="F653">
        <v>2102541</v>
      </c>
      <c r="G653">
        <v>135427</v>
      </c>
    </row>
    <row r="654" spans="2:7" x14ac:dyDescent="0.3">
      <c r="B654" t="str">
        <f t="shared" si="20"/>
        <v>72s</v>
      </c>
      <c r="C654" t="str">
        <f t="shared" si="21"/>
        <v>7C 2C</v>
      </c>
      <c r="D654" t="s">
        <v>45</v>
      </c>
      <c r="E654" t="s">
        <v>65</v>
      </c>
      <c r="F654">
        <v>2131213</v>
      </c>
      <c r="G654">
        <v>98306</v>
      </c>
    </row>
    <row r="655" spans="2:7" x14ac:dyDescent="0.3">
      <c r="B655" t="str">
        <f t="shared" si="20"/>
        <v>72s</v>
      </c>
      <c r="C655" t="str">
        <f t="shared" si="21"/>
        <v>7D 2D</v>
      </c>
      <c r="D655" t="s">
        <v>46</v>
      </c>
      <c r="E655" t="s">
        <v>66</v>
      </c>
      <c r="F655">
        <v>2114829</v>
      </c>
      <c r="G655">
        <v>81922</v>
      </c>
    </row>
    <row r="656" spans="2:7" x14ac:dyDescent="0.3">
      <c r="B656" t="str">
        <f t="shared" si="20"/>
        <v>72s</v>
      </c>
      <c r="C656" t="str">
        <f t="shared" si="21"/>
        <v>7H 2H</v>
      </c>
      <c r="D656" t="s">
        <v>47</v>
      </c>
      <c r="E656" t="s">
        <v>67</v>
      </c>
      <c r="F656">
        <v>2106637</v>
      </c>
      <c r="G656">
        <v>73730</v>
      </c>
    </row>
    <row r="657" spans="2:7" x14ac:dyDescent="0.3">
      <c r="B657" t="str">
        <f t="shared" si="20"/>
        <v>72s</v>
      </c>
      <c r="C657" t="str">
        <f t="shared" si="21"/>
        <v>7S 2S</v>
      </c>
      <c r="D657" t="s">
        <v>48</v>
      </c>
      <c r="E657" t="s">
        <v>68</v>
      </c>
      <c r="F657">
        <v>2102541</v>
      </c>
      <c r="G657">
        <v>69634</v>
      </c>
    </row>
    <row r="658" spans="2:7" x14ac:dyDescent="0.3">
      <c r="B658" t="str">
        <f t="shared" si="20"/>
        <v>A6o</v>
      </c>
      <c r="C658" t="str">
        <f t="shared" si="21"/>
        <v>AC 6D</v>
      </c>
      <c r="D658" t="s">
        <v>17</v>
      </c>
      <c r="E658" t="s">
        <v>50</v>
      </c>
      <c r="F658">
        <v>268471337</v>
      </c>
      <c r="G658">
        <v>1065995</v>
      </c>
    </row>
    <row r="659" spans="2:7" x14ac:dyDescent="0.3">
      <c r="B659" t="str">
        <f t="shared" si="20"/>
        <v>A6o</v>
      </c>
      <c r="C659" t="str">
        <f t="shared" si="21"/>
        <v>AC 6H</v>
      </c>
      <c r="D659" t="s">
        <v>17</v>
      </c>
      <c r="E659" t="s">
        <v>51</v>
      </c>
      <c r="F659">
        <v>268471337</v>
      </c>
      <c r="G659">
        <v>1057803</v>
      </c>
    </row>
    <row r="660" spans="2:7" x14ac:dyDescent="0.3">
      <c r="B660" t="str">
        <f t="shared" si="20"/>
        <v>A6o</v>
      </c>
      <c r="C660" t="str">
        <f t="shared" si="21"/>
        <v>AC 6S</v>
      </c>
      <c r="D660" t="s">
        <v>17</v>
      </c>
      <c r="E660" t="s">
        <v>52</v>
      </c>
      <c r="F660">
        <v>268471337</v>
      </c>
      <c r="G660">
        <v>1053707</v>
      </c>
    </row>
    <row r="661" spans="2:7" x14ac:dyDescent="0.3">
      <c r="B661" t="str">
        <f t="shared" si="20"/>
        <v>A6o</v>
      </c>
      <c r="C661" t="str">
        <f t="shared" si="21"/>
        <v>AD 6C</v>
      </c>
      <c r="D661" t="s">
        <v>18</v>
      </c>
      <c r="E661" t="s">
        <v>49</v>
      </c>
      <c r="F661">
        <v>268454953</v>
      </c>
      <c r="G661">
        <v>1082379</v>
      </c>
    </row>
    <row r="662" spans="2:7" x14ac:dyDescent="0.3">
      <c r="B662" t="str">
        <f t="shared" si="20"/>
        <v>A6o</v>
      </c>
      <c r="C662" t="str">
        <f t="shared" si="21"/>
        <v>AD 6H</v>
      </c>
      <c r="D662" t="s">
        <v>18</v>
      </c>
      <c r="E662" t="s">
        <v>51</v>
      </c>
      <c r="F662">
        <v>268454953</v>
      </c>
      <c r="G662">
        <v>1057803</v>
      </c>
    </row>
    <row r="663" spans="2:7" x14ac:dyDescent="0.3">
      <c r="B663" t="str">
        <f t="shared" si="20"/>
        <v>A6o</v>
      </c>
      <c r="C663" t="str">
        <f t="shared" si="21"/>
        <v>AD 6S</v>
      </c>
      <c r="D663" t="s">
        <v>18</v>
      </c>
      <c r="E663" t="s">
        <v>52</v>
      </c>
      <c r="F663">
        <v>268454953</v>
      </c>
      <c r="G663">
        <v>1053707</v>
      </c>
    </row>
    <row r="664" spans="2:7" x14ac:dyDescent="0.3">
      <c r="B664" t="str">
        <f t="shared" si="20"/>
        <v>A6o</v>
      </c>
      <c r="C664" t="str">
        <f t="shared" si="21"/>
        <v>AH 6C</v>
      </c>
      <c r="D664" t="s">
        <v>19</v>
      </c>
      <c r="E664" t="s">
        <v>49</v>
      </c>
      <c r="F664">
        <v>268446761</v>
      </c>
      <c r="G664">
        <v>1082379</v>
      </c>
    </row>
    <row r="665" spans="2:7" x14ac:dyDescent="0.3">
      <c r="B665" t="str">
        <f t="shared" si="20"/>
        <v>A6o</v>
      </c>
      <c r="C665" t="str">
        <f t="shared" si="21"/>
        <v>AH 6D</v>
      </c>
      <c r="D665" t="s">
        <v>19</v>
      </c>
      <c r="E665" t="s">
        <v>50</v>
      </c>
      <c r="F665">
        <v>268446761</v>
      </c>
      <c r="G665">
        <v>1065995</v>
      </c>
    </row>
    <row r="666" spans="2:7" x14ac:dyDescent="0.3">
      <c r="B666" t="str">
        <f t="shared" si="20"/>
        <v>A6o</v>
      </c>
      <c r="C666" t="str">
        <f t="shared" si="21"/>
        <v>AH 6S</v>
      </c>
      <c r="D666" t="s">
        <v>19</v>
      </c>
      <c r="E666" t="s">
        <v>52</v>
      </c>
      <c r="F666">
        <v>268446761</v>
      </c>
      <c r="G666">
        <v>1053707</v>
      </c>
    </row>
    <row r="667" spans="2:7" x14ac:dyDescent="0.3">
      <c r="B667" t="str">
        <f t="shared" si="20"/>
        <v>A6o</v>
      </c>
      <c r="C667" t="str">
        <f t="shared" si="21"/>
        <v>AS 6C</v>
      </c>
      <c r="D667" t="s">
        <v>20</v>
      </c>
      <c r="E667" t="s">
        <v>49</v>
      </c>
      <c r="F667">
        <v>268442665</v>
      </c>
      <c r="G667">
        <v>1082379</v>
      </c>
    </row>
    <row r="668" spans="2:7" x14ac:dyDescent="0.3">
      <c r="B668" t="str">
        <f t="shared" si="20"/>
        <v>A6o</v>
      </c>
      <c r="C668" t="str">
        <f t="shared" si="21"/>
        <v>AS 6D</v>
      </c>
      <c r="D668" t="s">
        <v>20</v>
      </c>
      <c r="E668" t="s">
        <v>50</v>
      </c>
      <c r="F668">
        <v>268442665</v>
      </c>
      <c r="G668">
        <v>1065995</v>
      </c>
    </row>
    <row r="669" spans="2:7" x14ac:dyDescent="0.3">
      <c r="B669" t="str">
        <f t="shared" si="20"/>
        <v>A6o</v>
      </c>
      <c r="C669" t="str">
        <f t="shared" si="21"/>
        <v>AS 6H</v>
      </c>
      <c r="D669" t="s">
        <v>20</v>
      </c>
      <c r="E669" t="s">
        <v>51</v>
      </c>
      <c r="F669">
        <v>268442665</v>
      </c>
      <c r="G669">
        <v>1057803</v>
      </c>
    </row>
    <row r="670" spans="2:7" x14ac:dyDescent="0.3">
      <c r="B670" t="str">
        <f t="shared" si="20"/>
        <v>K6o</v>
      </c>
      <c r="C670" t="str">
        <f t="shared" si="21"/>
        <v>KC 6D</v>
      </c>
      <c r="D670" t="s">
        <v>21</v>
      </c>
      <c r="E670" t="s">
        <v>50</v>
      </c>
      <c r="F670">
        <v>134253349</v>
      </c>
      <c r="G670">
        <v>1065995</v>
      </c>
    </row>
    <row r="671" spans="2:7" x14ac:dyDescent="0.3">
      <c r="B671" t="str">
        <f t="shared" si="20"/>
        <v>K6o</v>
      </c>
      <c r="C671" t="str">
        <f t="shared" si="21"/>
        <v>KC 6H</v>
      </c>
      <c r="D671" t="s">
        <v>21</v>
      </c>
      <c r="E671" t="s">
        <v>51</v>
      </c>
      <c r="F671">
        <v>134253349</v>
      </c>
      <c r="G671">
        <v>1057803</v>
      </c>
    </row>
    <row r="672" spans="2:7" x14ac:dyDescent="0.3">
      <c r="B672" t="str">
        <f t="shared" si="20"/>
        <v>K6o</v>
      </c>
      <c r="C672" t="str">
        <f t="shared" si="21"/>
        <v>KC 6S</v>
      </c>
      <c r="D672" t="s">
        <v>21</v>
      </c>
      <c r="E672" t="s">
        <v>52</v>
      </c>
      <c r="F672">
        <v>134253349</v>
      </c>
      <c r="G672">
        <v>1053707</v>
      </c>
    </row>
    <row r="673" spans="2:7" x14ac:dyDescent="0.3">
      <c r="B673" t="str">
        <f t="shared" si="20"/>
        <v>K6o</v>
      </c>
      <c r="C673" t="str">
        <f t="shared" si="21"/>
        <v>KD 6C</v>
      </c>
      <c r="D673" t="s">
        <v>22</v>
      </c>
      <c r="E673" t="s">
        <v>49</v>
      </c>
      <c r="F673">
        <v>134236965</v>
      </c>
      <c r="G673">
        <v>1082379</v>
      </c>
    </row>
    <row r="674" spans="2:7" x14ac:dyDescent="0.3">
      <c r="B674" t="str">
        <f t="shared" si="20"/>
        <v>K6o</v>
      </c>
      <c r="C674" t="str">
        <f t="shared" si="21"/>
        <v>KD 6H</v>
      </c>
      <c r="D674" t="s">
        <v>22</v>
      </c>
      <c r="E674" t="s">
        <v>51</v>
      </c>
      <c r="F674">
        <v>134236965</v>
      </c>
      <c r="G674">
        <v>1057803</v>
      </c>
    </row>
    <row r="675" spans="2:7" x14ac:dyDescent="0.3">
      <c r="B675" t="str">
        <f t="shared" si="20"/>
        <v>K6o</v>
      </c>
      <c r="C675" t="str">
        <f t="shared" si="21"/>
        <v>KD 6S</v>
      </c>
      <c r="D675" t="s">
        <v>22</v>
      </c>
      <c r="E675" t="s">
        <v>52</v>
      </c>
      <c r="F675">
        <v>134236965</v>
      </c>
      <c r="G675">
        <v>1053707</v>
      </c>
    </row>
    <row r="676" spans="2:7" x14ac:dyDescent="0.3">
      <c r="B676" t="str">
        <f t="shared" si="20"/>
        <v>K6o</v>
      </c>
      <c r="C676" t="str">
        <f t="shared" si="21"/>
        <v>KH 6C</v>
      </c>
      <c r="D676" t="s">
        <v>23</v>
      </c>
      <c r="E676" t="s">
        <v>49</v>
      </c>
      <c r="F676">
        <v>134228773</v>
      </c>
      <c r="G676">
        <v>1082379</v>
      </c>
    </row>
    <row r="677" spans="2:7" x14ac:dyDescent="0.3">
      <c r="B677" t="str">
        <f t="shared" si="20"/>
        <v>K6o</v>
      </c>
      <c r="C677" t="str">
        <f t="shared" si="21"/>
        <v>KH 6D</v>
      </c>
      <c r="D677" t="s">
        <v>23</v>
      </c>
      <c r="E677" t="s">
        <v>50</v>
      </c>
      <c r="F677">
        <v>134228773</v>
      </c>
      <c r="G677">
        <v>1065995</v>
      </c>
    </row>
    <row r="678" spans="2:7" x14ac:dyDescent="0.3">
      <c r="B678" t="str">
        <f t="shared" si="20"/>
        <v>K6o</v>
      </c>
      <c r="C678" t="str">
        <f t="shared" si="21"/>
        <v>KH 6S</v>
      </c>
      <c r="D678" t="s">
        <v>23</v>
      </c>
      <c r="E678" t="s">
        <v>52</v>
      </c>
      <c r="F678">
        <v>134228773</v>
      </c>
      <c r="G678">
        <v>1053707</v>
      </c>
    </row>
    <row r="679" spans="2:7" x14ac:dyDescent="0.3">
      <c r="B679" t="str">
        <f t="shared" si="20"/>
        <v>K6o</v>
      </c>
      <c r="C679" t="str">
        <f t="shared" si="21"/>
        <v>KS 6C</v>
      </c>
      <c r="D679" t="s">
        <v>24</v>
      </c>
      <c r="E679" t="s">
        <v>49</v>
      </c>
      <c r="F679">
        <v>134224677</v>
      </c>
      <c r="G679">
        <v>1082379</v>
      </c>
    </row>
    <row r="680" spans="2:7" x14ac:dyDescent="0.3">
      <c r="B680" t="str">
        <f t="shared" si="20"/>
        <v>K6o</v>
      </c>
      <c r="C680" t="str">
        <f t="shared" si="21"/>
        <v>KS 6D</v>
      </c>
      <c r="D680" t="s">
        <v>24</v>
      </c>
      <c r="E680" t="s">
        <v>50</v>
      </c>
      <c r="F680">
        <v>134224677</v>
      </c>
      <c r="G680">
        <v>1065995</v>
      </c>
    </row>
    <row r="681" spans="2:7" x14ac:dyDescent="0.3">
      <c r="B681" t="str">
        <f t="shared" si="20"/>
        <v>K6o</v>
      </c>
      <c r="C681" t="str">
        <f t="shared" si="21"/>
        <v>KS 6H</v>
      </c>
      <c r="D681" t="s">
        <v>24</v>
      </c>
      <c r="E681" t="s">
        <v>51</v>
      </c>
      <c r="F681">
        <v>134224677</v>
      </c>
      <c r="G681">
        <v>1057803</v>
      </c>
    </row>
    <row r="682" spans="2:7" x14ac:dyDescent="0.3">
      <c r="B682" t="str">
        <f t="shared" si="20"/>
        <v>Q6o</v>
      </c>
      <c r="C682" t="str">
        <f t="shared" si="21"/>
        <v>QC 6D</v>
      </c>
      <c r="D682" t="s">
        <v>25</v>
      </c>
      <c r="E682" t="s">
        <v>50</v>
      </c>
      <c r="F682">
        <v>67144223</v>
      </c>
      <c r="G682">
        <v>1065995</v>
      </c>
    </row>
    <row r="683" spans="2:7" x14ac:dyDescent="0.3">
      <c r="B683" t="str">
        <f t="shared" si="20"/>
        <v>Q6o</v>
      </c>
      <c r="C683" t="str">
        <f t="shared" si="21"/>
        <v>QC 6H</v>
      </c>
      <c r="D683" t="s">
        <v>25</v>
      </c>
      <c r="E683" t="s">
        <v>51</v>
      </c>
      <c r="F683">
        <v>67144223</v>
      </c>
      <c r="G683">
        <v>1057803</v>
      </c>
    </row>
    <row r="684" spans="2:7" x14ac:dyDescent="0.3">
      <c r="B684" t="str">
        <f t="shared" si="20"/>
        <v>Q6o</v>
      </c>
      <c r="C684" t="str">
        <f t="shared" si="21"/>
        <v>QC 6S</v>
      </c>
      <c r="D684" t="s">
        <v>25</v>
      </c>
      <c r="E684" t="s">
        <v>52</v>
      </c>
      <c r="F684">
        <v>67144223</v>
      </c>
      <c r="G684">
        <v>1053707</v>
      </c>
    </row>
    <row r="685" spans="2:7" x14ac:dyDescent="0.3">
      <c r="B685" t="str">
        <f t="shared" si="20"/>
        <v>Q6o</v>
      </c>
      <c r="C685" t="str">
        <f t="shared" si="21"/>
        <v>QD 6C</v>
      </c>
      <c r="D685" t="s">
        <v>26</v>
      </c>
      <c r="E685" t="s">
        <v>49</v>
      </c>
      <c r="F685">
        <v>67127839</v>
      </c>
      <c r="G685">
        <v>1082379</v>
      </c>
    </row>
    <row r="686" spans="2:7" x14ac:dyDescent="0.3">
      <c r="B686" t="str">
        <f t="shared" si="20"/>
        <v>Q6o</v>
      </c>
      <c r="C686" t="str">
        <f t="shared" si="21"/>
        <v>QD 6H</v>
      </c>
      <c r="D686" t="s">
        <v>26</v>
      </c>
      <c r="E686" t="s">
        <v>51</v>
      </c>
      <c r="F686">
        <v>67127839</v>
      </c>
      <c r="G686">
        <v>1057803</v>
      </c>
    </row>
    <row r="687" spans="2:7" x14ac:dyDescent="0.3">
      <c r="B687" t="str">
        <f t="shared" si="20"/>
        <v>Q6o</v>
      </c>
      <c r="C687" t="str">
        <f t="shared" si="21"/>
        <v>QD 6S</v>
      </c>
      <c r="D687" t="s">
        <v>26</v>
      </c>
      <c r="E687" t="s">
        <v>52</v>
      </c>
      <c r="F687">
        <v>67127839</v>
      </c>
      <c r="G687">
        <v>1053707</v>
      </c>
    </row>
    <row r="688" spans="2:7" x14ac:dyDescent="0.3">
      <c r="B688" t="str">
        <f t="shared" si="20"/>
        <v>Q6o</v>
      </c>
      <c r="C688" t="str">
        <f t="shared" si="21"/>
        <v>QH 6C</v>
      </c>
      <c r="D688" t="s">
        <v>27</v>
      </c>
      <c r="E688" t="s">
        <v>49</v>
      </c>
      <c r="F688">
        <v>67119647</v>
      </c>
      <c r="G688">
        <v>1082379</v>
      </c>
    </row>
    <row r="689" spans="2:7" x14ac:dyDescent="0.3">
      <c r="B689" t="str">
        <f t="shared" si="20"/>
        <v>Q6o</v>
      </c>
      <c r="C689" t="str">
        <f t="shared" si="21"/>
        <v>QH 6D</v>
      </c>
      <c r="D689" t="s">
        <v>27</v>
      </c>
      <c r="E689" t="s">
        <v>50</v>
      </c>
      <c r="F689">
        <v>67119647</v>
      </c>
      <c r="G689">
        <v>1065995</v>
      </c>
    </row>
    <row r="690" spans="2:7" x14ac:dyDescent="0.3">
      <c r="B690" t="str">
        <f t="shared" si="20"/>
        <v>Q6o</v>
      </c>
      <c r="C690" t="str">
        <f t="shared" si="21"/>
        <v>QH 6S</v>
      </c>
      <c r="D690" t="s">
        <v>27</v>
      </c>
      <c r="E690" t="s">
        <v>52</v>
      </c>
      <c r="F690">
        <v>67119647</v>
      </c>
      <c r="G690">
        <v>1053707</v>
      </c>
    </row>
    <row r="691" spans="2:7" x14ac:dyDescent="0.3">
      <c r="B691" t="str">
        <f t="shared" si="20"/>
        <v>Q6o</v>
      </c>
      <c r="C691" t="str">
        <f t="shared" si="21"/>
        <v>QS 6C</v>
      </c>
      <c r="D691" t="s">
        <v>28</v>
      </c>
      <c r="E691" t="s">
        <v>49</v>
      </c>
      <c r="F691">
        <v>67115551</v>
      </c>
      <c r="G691">
        <v>1082379</v>
      </c>
    </row>
    <row r="692" spans="2:7" x14ac:dyDescent="0.3">
      <c r="B692" t="str">
        <f t="shared" si="20"/>
        <v>Q6o</v>
      </c>
      <c r="C692" t="str">
        <f t="shared" si="21"/>
        <v>QS 6D</v>
      </c>
      <c r="D692" t="s">
        <v>28</v>
      </c>
      <c r="E692" t="s">
        <v>50</v>
      </c>
      <c r="F692">
        <v>67115551</v>
      </c>
      <c r="G692">
        <v>1065995</v>
      </c>
    </row>
    <row r="693" spans="2:7" x14ac:dyDescent="0.3">
      <c r="B693" t="str">
        <f t="shared" si="20"/>
        <v>Q6o</v>
      </c>
      <c r="C693" t="str">
        <f t="shared" si="21"/>
        <v>QS 6H</v>
      </c>
      <c r="D693" t="s">
        <v>28</v>
      </c>
      <c r="E693" t="s">
        <v>51</v>
      </c>
      <c r="F693">
        <v>67115551</v>
      </c>
      <c r="G693">
        <v>1057803</v>
      </c>
    </row>
    <row r="694" spans="2:7" x14ac:dyDescent="0.3">
      <c r="B694" t="str">
        <f t="shared" si="20"/>
        <v>J6o</v>
      </c>
      <c r="C694" t="str">
        <f t="shared" si="21"/>
        <v>JC 6D</v>
      </c>
      <c r="D694" t="s">
        <v>29</v>
      </c>
      <c r="E694" t="s">
        <v>50</v>
      </c>
      <c r="F694">
        <v>33589533</v>
      </c>
      <c r="G694">
        <v>1065995</v>
      </c>
    </row>
    <row r="695" spans="2:7" x14ac:dyDescent="0.3">
      <c r="B695" t="str">
        <f t="shared" si="20"/>
        <v>J6o</v>
      </c>
      <c r="C695" t="str">
        <f t="shared" si="21"/>
        <v>JC 6H</v>
      </c>
      <c r="D695" t="s">
        <v>29</v>
      </c>
      <c r="E695" t="s">
        <v>51</v>
      </c>
      <c r="F695">
        <v>33589533</v>
      </c>
      <c r="G695">
        <v>1057803</v>
      </c>
    </row>
    <row r="696" spans="2:7" x14ac:dyDescent="0.3">
      <c r="B696" t="str">
        <f t="shared" si="20"/>
        <v>J6o</v>
      </c>
      <c r="C696" t="str">
        <f t="shared" si="21"/>
        <v>JC 6S</v>
      </c>
      <c r="D696" t="s">
        <v>29</v>
      </c>
      <c r="E696" t="s">
        <v>52</v>
      </c>
      <c r="F696">
        <v>33589533</v>
      </c>
      <c r="G696">
        <v>1053707</v>
      </c>
    </row>
    <row r="697" spans="2:7" x14ac:dyDescent="0.3">
      <c r="B697" t="str">
        <f t="shared" si="20"/>
        <v>J6o</v>
      </c>
      <c r="C697" t="str">
        <f t="shared" si="21"/>
        <v>JD 6C</v>
      </c>
      <c r="D697" t="s">
        <v>30</v>
      </c>
      <c r="E697" t="s">
        <v>49</v>
      </c>
      <c r="F697">
        <v>33573149</v>
      </c>
      <c r="G697">
        <v>1082379</v>
      </c>
    </row>
    <row r="698" spans="2:7" x14ac:dyDescent="0.3">
      <c r="B698" t="str">
        <f t="shared" si="20"/>
        <v>J6o</v>
      </c>
      <c r="C698" t="str">
        <f t="shared" si="21"/>
        <v>JD 6H</v>
      </c>
      <c r="D698" t="s">
        <v>30</v>
      </c>
      <c r="E698" t="s">
        <v>51</v>
      </c>
      <c r="F698">
        <v>33573149</v>
      </c>
      <c r="G698">
        <v>1057803</v>
      </c>
    </row>
    <row r="699" spans="2:7" x14ac:dyDescent="0.3">
      <c r="B699" t="str">
        <f t="shared" si="20"/>
        <v>J6o</v>
      </c>
      <c r="C699" t="str">
        <f t="shared" si="21"/>
        <v>JD 6S</v>
      </c>
      <c r="D699" t="s">
        <v>30</v>
      </c>
      <c r="E699" t="s">
        <v>52</v>
      </c>
      <c r="F699">
        <v>33573149</v>
      </c>
      <c r="G699">
        <v>1053707</v>
      </c>
    </row>
    <row r="700" spans="2:7" x14ac:dyDescent="0.3">
      <c r="B700" t="str">
        <f t="shared" si="20"/>
        <v>J6o</v>
      </c>
      <c r="C700" t="str">
        <f t="shared" si="21"/>
        <v>JH 6C</v>
      </c>
      <c r="D700" t="s">
        <v>31</v>
      </c>
      <c r="E700" t="s">
        <v>49</v>
      </c>
      <c r="F700">
        <v>33564957</v>
      </c>
      <c r="G700">
        <v>1082379</v>
      </c>
    </row>
    <row r="701" spans="2:7" x14ac:dyDescent="0.3">
      <c r="B701" t="str">
        <f t="shared" si="20"/>
        <v>J6o</v>
      </c>
      <c r="C701" t="str">
        <f t="shared" si="21"/>
        <v>JH 6D</v>
      </c>
      <c r="D701" t="s">
        <v>31</v>
      </c>
      <c r="E701" t="s">
        <v>50</v>
      </c>
      <c r="F701">
        <v>33564957</v>
      </c>
      <c r="G701">
        <v>1065995</v>
      </c>
    </row>
    <row r="702" spans="2:7" x14ac:dyDescent="0.3">
      <c r="B702" t="str">
        <f t="shared" si="20"/>
        <v>J6o</v>
      </c>
      <c r="C702" t="str">
        <f t="shared" si="21"/>
        <v>JH 6S</v>
      </c>
      <c r="D702" t="s">
        <v>31</v>
      </c>
      <c r="E702" t="s">
        <v>52</v>
      </c>
      <c r="F702">
        <v>33564957</v>
      </c>
      <c r="G702">
        <v>1053707</v>
      </c>
    </row>
    <row r="703" spans="2:7" x14ac:dyDescent="0.3">
      <c r="B703" t="str">
        <f t="shared" si="20"/>
        <v>J6o</v>
      </c>
      <c r="C703" t="str">
        <f t="shared" si="21"/>
        <v>JS 6C</v>
      </c>
      <c r="D703" t="s">
        <v>32</v>
      </c>
      <c r="E703" t="s">
        <v>49</v>
      </c>
      <c r="F703">
        <v>33560861</v>
      </c>
      <c r="G703">
        <v>1082379</v>
      </c>
    </row>
    <row r="704" spans="2:7" x14ac:dyDescent="0.3">
      <c r="B704" t="str">
        <f t="shared" si="20"/>
        <v>J6o</v>
      </c>
      <c r="C704" t="str">
        <f t="shared" si="21"/>
        <v>JS 6D</v>
      </c>
      <c r="D704" t="s">
        <v>32</v>
      </c>
      <c r="E704" t="s">
        <v>50</v>
      </c>
      <c r="F704">
        <v>33560861</v>
      </c>
      <c r="G704">
        <v>1065995</v>
      </c>
    </row>
    <row r="705" spans="2:7" x14ac:dyDescent="0.3">
      <c r="B705" t="str">
        <f t="shared" si="20"/>
        <v>J6o</v>
      </c>
      <c r="C705" t="str">
        <f t="shared" si="21"/>
        <v>JS 6H</v>
      </c>
      <c r="D705" t="s">
        <v>32</v>
      </c>
      <c r="E705" t="s">
        <v>51</v>
      </c>
      <c r="F705">
        <v>33560861</v>
      </c>
      <c r="G705">
        <v>1057803</v>
      </c>
    </row>
    <row r="706" spans="2:7" x14ac:dyDescent="0.3">
      <c r="B706" t="str">
        <f t="shared" si="20"/>
        <v>T6o</v>
      </c>
      <c r="C706" t="str">
        <f t="shared" si="21"/>
        <v>TC 6D</v>
      </c>
      <c r="D706" t="s">
        <v>33</v>
      </c>
      <c r="E706" t="s">
        <v>50</v>
      </c>
      <c r="F706">
        <v>16812055</v>
      </c>
      <c r="G706">
        <v>1065995</v>
      </c>
    </row>
    <row r="707" spans="2:7" x14ac:dyDescent="0.3">
      <c r="B707" t="str">
        <f t="shared" ref="B707:B770" si="22">LEFT(D707,1)&amp;LEFT(E707,1)&amp;IF(LEFT(D707,1)=LEFT(E707,1), "", IF(RIGHT(D707,1)=RIGHT(E707,1), "s", "o"))</f>
        <v>T6o</v>
      </c>
      <c r="C707" t="str">
        <f t="shared" ref="C707:C770" si="23">UPPER(D707&amp;" "&amp;E707)</f>
        <v>TC 6H</v>
      </c>
      <c r="D707" t="s">
        <v>33</v>
      </c>
      <c r="E707" t="s">
        <v>51</v>
      </c>
      <c r="F707">
        <v>16812055</v>
      </c>
      <c r="G707">
        <v>1057803</v>
      </c>
    </row>
    <row r="708" spans="2:7" x14ac:dyDescent="0.3">
      <c r="B708" t="str">
        <f t="shared" si="22"/>
        <v>T6o</v>
      </c>
      <c r="C708" t="str">
        <f t="shared" si="23"/>
        <v>TC 6S</v>
      </c>
      <c r="D708" t="s">
        <v>33</v>
      </c>
      <c r="E708" t="s">
        <v>52</v>
      </c>
      <c r="F708">
        <v>16812055</v>
      </c>
      <c r="G708">
        <v>1053707</v>
      </c>
    </row>
    <row r="709" spans="2:7" x14ac:dyDescent="0.3">
      <c r="B709" t="str">
        <f t="shared" si="22"/>
        <v>T6o</v>
      </c>
      <c r="C709" t="str">
        <f t="shared" si="23"/>
        <v>TD 6C</v>
      </c>
      <c r="D709" t="s">
        <v>34</v>
      </c>
      <c r="E709" t="s">
        <v>49</v>
      </c>
      <c r="F709">
        <v>16795671</v>
      </c>
      <c r="G709">
        <v>1082379</v>
      </c>
    </row>
    <row r="710" spans="2:7" x14ac:dyDescent="0.3">
      <c r="B710" t="str">
        <f t="shared" si="22"/>
        <v>T6o</v>
      </c>
      <c r="C710" t="str">
        <f t="shared" si="23"/>
        <v>TD 6H</v>
      </c>
      <c r="D710" t="s">
        <v>34</v>
      </c>
      <c r="E710" t="s">
        <v>51</v>
      </c>
      <c r="F710">
        <v>16795671</v>
      </c>
      <c r="G710">
        <v>1057803</v>
      </c>
    </row>
    <row r="711" spans="2:7" x14ac:dyDescent="0.3">
      <c r="B711" t="str">
        <f t="shared" si="22"/>
        <v>T6o</v>
      </c>
      <c r="C711" t="str">
        <f t="shared" si="23"/>
        <v>TD 6S</v>
      </c>
      <c r="D711" t="s">
        <v>34</v>
      </c>
      <c r="E711" t="s">
        <v>52</v>
      </c>
      <c r="F711">
        <v>16795671</v>
      </c>
      <c r="G711">
        <v>1053707</v>
      </c>
    </row>
    <row r="712" spans="2:7" x14ac:dyDescent="0.3">
      <c r="B712" t="str">
        <f t="shared" si="22"/>
        <v>T6o</v>
      </c>
      <c r="C712" t="str">
        <f t="shared" si="23"/>
        <v>TH 6C</v>
      </c>
      <c r="D712" t="s">
        <v>35</v>
      </c>
      <c r="E712" t="s">
        <v>49</v>
      </c>
      <c r="F712">
        <v>16787479</v>
      </c>
      <c r="G712">
        <v>1082379</v>
      </c>
    </row>
    <row r="713" spans="2:7" x14ac:dyDescent="0.3">
      <c r="B713" t="str">
        <f t="shared" si="22"/>
        <v>T6o</v>
      </c>
      <c r="C713" t="str">
        <f t="shared" si="23"/>
        <v>TH 6D</v>
      </c>
      <c r="D713" t="s">
        <v>35</v>
      </c>
      <c r="E713" t="s">
        <v>50</v>
      </c>
      <c r="F713">
        <v>16787479</v>
      </c>
      <c r="G713">
        <v>1065995</v>
      </c>
    </row>
    <row r="714" spans="2:7" x14ac:dyDescent="0.3">
      <c r="B714" t="str">
        <f t="shared" si="22"/>
        <v>T6o</v>
      </c>
      <c r="C714" t="str">
        <f t="shared" si="23"/>
        <v>TH 6S</v>
      </c>
      <c r="D714" t="s">
        <v>35</v>
      </c>
      <c r="E714" t="s">
        <v>52</v>
      </c>
      <c r="F714">
        <v>16787479</v>
      </c>
      <c r="G714">
        <v>1053707</v>
      </c>
    </row>
    <row r="715" spans="2:7" x14ac:dyDescent="0.3">
      <c r="B715" t="str">
        <f t="shared" si="22"/>
        <v>T6o</v>
      </c>
      <c r="C715" t="str">
        <f t="shared" si="23"/>
        <v>TS 6C</v>
      </c>
      <c r="D715" t="s">
        <v>36</v>
      </c>
      <c r="E715" t="s">
        <v>49</v>
      </c>
      <c r="F715">
        <v>16783383</v>
      </c>
      <c r="G715">
        <v>1082379</v>
      </c>
    </row>
    <row r="716" spans="2:7" x14ac:dyDescent="0.3">
      <c r="B716" t="str">
        <f t="shared" si="22"/>
        <v>T6o</v>
      </c>
      <c r="C716" t="str">
        <f t="shared" si="23"/>
        <v>TS 6D</v>
      </c>
      <c r="D716" t="s">
        <v>36</v>
      </c>
      <c r="E716" t="s">
        <v>50</v>
      </c>
      <c r="F716">
        <v>16783383</v>
      </c>
      <c r="G716">
        <v>1065995</v>
      </c>
    </row>
    <row r="717" spans="2:7" x14ac:dyDescent="0.3">
      <c r="B717" t="str">
        <f t="shared" si="22"/>
        <v>T6o</v>
      </c>
      <c r="C717" t="str">
        <f t="shared" si="23"/>
        <v>TS 6H</v>
      </c>
      <c r="D717" t="s">
        <v>36</v>
      </c>
      <c r="E717" t="s">
        <v>51</v>
      </c>
      <c r="F717">
        <v>16783383</v>
      </c>
      <c r="G717">
        <v>1057803</v>
      </c>
    </row>
    <row r="718" spans="2:7" x14ac:dyDescent="0.3">
      <c r="B718" t="str">
        <f t="shared" si="22"/>
        <v>96o</v>
      </c>
      <c r="C718" t="str">
        <f t="shared" si="23"/>
        <v>9C 6D</v>
      </c>
      <c r="D718" t="s">
        <v>37</v>
      </c>
      <c r="E718" t="s">
        <v>50</v>
      </c>
      <c r="F718">
        <v>8423187</v>
      </c>
      <c r="G718">
        <v>1065995</v>
      </c>
    </row>
    <row r="719" spans="2:7" x14ac:dyDescent="0.3">
      <c r="B719" t="str">
        <f t="shared" si="22"/>
        <v>96o</v>
      </c>
      <c r="C719" t="str">
        <f t="shared" si="23"/>
        <v>9C 6H</v>
      </c>
      <c r="D719" t="s">
        <v>37</v>
      </c>
      <c r="E719" t="s">
        <v>51</v>
      </c>
      <c r="F719">
        <v>8423187</v>
      </c>
      <c r="G719">
        <v>1057803</v>
      </c>
    </row>
    <row r="720" spans="2:7" x14ac:dyDescent="0.3">
      <c r="B720" t="str">
        <f t="shared" si="22"/>
        <v>96o</v>
      </c>
      <c r="C720" t="str">
        <f t="shared" si="23"/>
        <v>9C 6S</v>
      </c>
      <c r="D720" t="s">
        <v>37</v>
      </c>
      <c r="E720" t="s">
        <v>52</v>
      </c>
      <c r="F720">
        <v>8423187</v>
      </c>
      <c r="G720">
        <v>1053707</v>
      </c>
    </row>
    <row r="721" spans="2:7" x14ac:dyDescent="0.3">
      <c r="B721" t="str">
        <f t="shared" si="22"/>
        <v>96o</v>
      </c>
      <c r="C721" t="str">
        <f t="shared" si="23"/>
        <v>9D 6C</v>
      </c>
      <c r="D721" t="s">
        <v>38</v>
      </c>
      <c r="E721" t="s">
        <v>49</v>
      </c>
      <c r="F721">
        <v>8406803</v>
      </c>
      <c r="G721">
        <v>1082379</v>
      </c>
    </row>
    <row r="722" spans="2:7" x14ac:dyDescent="0.3">
      <c r="B722" t="str">
        <f t="shared" si="22"/>
        <v>96o</v>
      </c>
      <c r="C722" t="str">
        <f t="shared" si="23"/>
        <v>9D 6H</v>
      </c>
      <c r="D722" t="s">
        <v>38</v>
      </c>
      <c r="E722" t="s">
        <v>51</v>
      </c>
      <c r="F722">
        <v>8406803</v>
      </c>
      <c r="G722">
        <v>1057803</v>
      </c>
    </row>
    <row r="723" spans="2:7" x14ac:dyDescent="0.3">
      <c r="B723" t="str">
        <f t="shared" si="22"/>
        <v>96o</v>
      </c>
      <c r="C723" t="str">
        <f t="shared" si="23"/>
        <v>9D 6S</v>
      </c>
      <c r="D723" t="s">
        <v>38</v>
      </c>
      <c r="E723" t="s">
        <v>52</v>
      </c>
      <c r="F723">
        <v>8406803</v>
      </c>
      <c r="G723">
        <v>1053707</v>
      </c>
    </row>
    <row r="724" spans="2:7" x14ac:dyDescent="0.3">
      <c r="B724" t="str">
        <f t="shared" si="22"/>
        <v>96o</v>
      </c>
      <c r="C724" t="str">
        <f t="shared" si="23"/>
        <v>9H 6C</v>
      </c>
      <c r="D724" t="s">
        <v>39</v>
      </c>
      <c r="E724" t="s">
        <v>49</v>
      </c>
      <c r="F724">
        <v>8398611</v>
      </c>
      <c r="G724">
        <v>1082379</v>
      </c>
    </row>
    <row r="725" spans="2:7" x14ac:dyDescent="0.3">
      <c r="B725" t="str">
        <f t="shared" si="22"/>
        <v>96o</v>
      </c>
      <c r="C725" t="str">
        <f t="shared" si="23"/>
        <v>9H 6D</v>
      </c>
      <c r="D725" t="s">
        <v>39</v>
      </c>
      <c r="E725" t="s">
        <v>50</v>
      </c>
      <c r="F725">
        <v>8398611</v>
      </c>
      <c r="G725">
        <v>1065995</v>
      </c>
    </row>
    <row r="726" spans="2:7" x14ac:dyDescent="0.3">
      <c r="B726" t="str">
        <f t="shared" si="22"/>
        <v>96o</v>
      </c>
      <c r="C726" t="str">
        <f t="shared" si="23"/>
        <v>9H 6S</v>
      </c>
      <c r="D726" t="s">
        <v>39</v>
      </c>
      <c r="E726" t="s">
        <v>52</v>
      </c>
      <c r="F726">
        <v>8398611</v>
      </c>
      <c r="G726">
        <v>1053707</v>
      </c>
    </row>
    <row r="727" spans="2:7" x14ac:dyDescent="0.3">
      <c r="B727" t="str">
        <f t="shared" si="22"/>
        <v>96o</v>
      </c>
      <c r="C727" t="str">
        <f t="shared" si="23"/>
        <v>9S 6C</v>
      </c>
      <c r="D727" t="s">
        <v>40</v>
      </c>
      <c r="E727" t="s">
        <v>49</v>
      </c>
      <c r="F727">
        <v>8394515</v>
      </c>
      <c r="G727">
        <v>1082379</v>
      </c>
    </row>
    <row r="728" spans="2:7" x14ac:dyDescent="0.3">
      <c r="B728" t="str">
        <f t="shared" si="22"/>
        <v>96o</v>
      </c>
      <c r="C728" t="str">
        <f t="shared" si="23"/>
        <v>9S 6D</v>
      </c>
      <c r="D728" t="s">
        <v>40</v>
      </c>
      <c r="E728" t="s">
        <v>50</v>
      </c>
      <c r="F728">
        <v>8394515</v>
      </c>
      <c r="G728">
        <v>1065995</v>
      </c>
    </row>
    <row r="729" spans="2:7" x14ac:dyDescent="0.3">
      <c r="B729" t="str">
        <f t="shared" si="22"/>
        <v>96o</v>
      </c>
      <c r="C729" t="str">
        <f t="shared" si="23"/>
        <v>9S 6H</v>
      </c>
      <c r="D729" t="s">
        <v>40</v>
      </c>
      <c r="E729" t="s">
        <v>51</v>
      </c>
      <c r="F729">
        <v>8394515</v>
      </c>
      <c r="G729">
        <v>1057803</v>
      </c>
    </row>
    <row r="730" spans="2:7" x14ac:dyDescent="0.3">
      <c r="B730" t="str">
        <f t="shared" si="22"/>
        <v>86o</v>
      </c>
      <c r="C730" t="str">
        <f t="shared" si="23"/>
        <v>8C 6D</v>
      </c>
      <c r="D730" t="s">
        <v>41</v>
      </c>
      <c r="E730" t="s">
        <v>50</v>
      </c>
      <c r="F730">
        <v>4228625</v>
      </c>
      <c r="G730">
        <v>1065995</v>
      </c>
    </row>
    <row r="731" spans="2:7" x14ac:dyDescent="0.3">
      <c r="B731" t="str">
        <f t="shared" si="22"/>
        <v>86o</v>
      </c>
      <c r="C731" t="str">
        <f t="shared" si="23"/>
        <v>8C 6H</v>
      </c>
      <c r="D731" t="s">
        <v>41</v>
      </c>
      <c r="E731" t="s">
        <v>51</v>
      </c>
      <c r="F731">
        <v>4228625</v>
      </c>
      <c r="G731">
        <v>1057803</v>
      </c>
    </row>
    <row r="732" spans="2:7" x14ac:dyDescent="0.3">
      <c r="B732" t="str">
        <f t="shared" si="22"/>
        <v>86o</v>
      </c>
      <c r="C732" t="str">
        <f t="shared" si="23"/>
        <v>8C 6S</v>
      </c>
      <c r="D732" t="s">
        <v>41</v>
      </c>
      <c r="E732" t="s">
        <v>52</v>
      </c>
      <c r="F732">
        <v>4228625</v>
      </c>
      <c r="G732">
        <v>1053707</v>
      </c>
    </row>
    <row r="733" spans="2:7" x14ac:dyDescent="0.3">
      <c r="B733" t="str">
        <f t="shared" si="22"/>
        <v>86o</v>
      </c>
      <c r="C733" t="str">
        <f t="shared" si="23"/>
        <v>8D 6C</v>
      </c>
      <c r="D733" t="s">
        <v>42</v>
      </c>
      <c r="E733" t="s">
        <v>49</v>
      </c>
      <c r="F733">
        <v>4212241</v>
      </c>
      <c r="G733">
        <v>1082379</v>
      </c>
    </row>
    <row r="734" spans="2:7" x14ac:dyDescent="0.3">
      <c r="B734" t="str">
        <f t="shared" si="22"/>
        <v>86o</v>
      </c>
      <c r="C734" t="str">
        <f t="shared" si="23"/>
        <v>8D 6H</v>
      </c>
      <c r="D734" t="s">
        <v>42</v>
      </c>
      <c r="E734" t="s">
        <v>51</v>
      </c>
      <c r="F734">
        <v>4212241</v>
      </c>
      <c r="G734">
        <v>1057803</v>
      </c>
    </row>
    <row r="735" spans="2:7" x14ac:dyDescent="0.3">
      <c r="B735" t="str">
        <f t="shared" si="22"/>
        <v>86o</v>
      </c>
      <c r="C735" t="str">
        <f t="shared" si="23"/>
        <v>8D 6S</v>
      </c>
      <c r="D735" t="s">
        <v>42</v>
      </c>
      <c r="E735" t="s">
        <v>52</v>
      </c>
      <c r="F735">
        <v>4212241</v>
      </c>
      <c r="G735">
        <v>1053707</v>
      </c>
    </row>
    <row r="736" spans="2:7" x14ac:dyDescent="0.3">
      <c r="B736" t="str">
        <f t="shared" si="22"/>
        <v>86o</v>
      </c>
      <c r="C736" t="str">
        <f t="shared" si="23"/>
        <v>8H 6C</v>
      </c>
      <c r="D736" t="s">
        <v>43</v>
      </c>
      <c r="E736" t="s">
        <v>49</v>
      </c>
      <c r="F736">
        <v>4204049</v>
      </c>
      <c r="G736">
        <v>1082379</v>
      </c>
    </row>
    <row r="737" spans="2:7" x14ac:dyDescent="0.3">
      <c r="B737" t="str">
        <f t="shared" si="22"/>
        <v>86o</v>
      </c>
      <c r="C737" t="str">
        <f t="shared" si="23"/>
        <v>8H 6D</v>
      </c>
      <c r="D737" t="s">
        <v>43</v>
      </c>
      <c r="E737" t="s">
        <v>50</v>
      </c>
      <c r="F737">
        <v>4204049</v>
      </c>
      <c r="G737">
        <v>1065995</v>
      </c>
    </row>
    <row r="738" spans="2:7" x14ac:dyDescent="0.3">
      <c r="B738" t="str">
        <f t="shared" si="22"/>
        <v>86o</v>
      </c>
      <c r="C738" t="str">
        <f t="shared" si="23"/>
        <v>8H 6S</v>
      </c>
      <c r="D738" t="s">
        <v>43</v>
      </c>
      <c r="E738" t="s">
        <v>52</v>
      </c>
      <c r="F738">
        <v>4204049</v>
      </c>
      <c r="G738">
        <v>1053707</v>
      </c>
    </row>
    <row r="739" spans="2:7" x14ac:dyDescent="0.3">
      <c r="B739" t="str">
        <f t="shared" si="22"/>
        <v>86o</v>
      </c>
      <c r="C739" t="str">
        <f t="shared" si="23"/>
        <v>8S 6C</v>
      </c>
      <c r="D739" t="s">
        <v>44</v>
      </c>
      <c r="E739" t="s">
        <v>49</v>
      </c>
      <c r="F739">
        <v>4199953</v>
      </c>
      <c r="G739">
        <v>1082379</v>
      </c>
    </row>
    <row r="740" spans="2:7" x14ac:dyDescent="0.3">
      <c r="B740" t="str">
        <f t="shared" si="22"/>
        <v>86o</v>
      </c>
      <c r="C740" t="str">
        <f t="shared" si="23"/>
        <v>8S 6D</v>
      </c>
      <c r="D740" t="s">
        <v>44</v>
      </c>
      <c r="E740" t="s">
        <v>50</v>
      </c>
      <c r="F740">
        <v>4199953</v>
      </c>
      <c r="G740">
        <v>1065995</v>
      </c>
    </row>
    <row r="741" spans="2:7" x14ac:dyDescent="0.3">
      <c r="B741" t="str">
        <f t="shared" si="22"/>
        <v>86o</v>
      </c>
      <c r="C741" t="str">
        <f t="shared" si="23"/>
        <v>8S 6H</v>
      </c>
      <c r="D741" t="s">
        <v>44</v>
      </c>
      <c r="E741" t="s">
        <v>51</v>
      </c>
      <c r="F741">
        <v>4199953</v>
      </c>
      <c r="G741">
        <v>1057803</v>
      </c>
    </row>
    <row r="742" spans="2:7" x14ac:dyDescent="0.3">
      <c r="B742" t="str">
        <f t="shared" si="22"/>
        <v>76o</v>
      </c>
      <c r="C742" t="str">
        <f t="shared" si="23"/>
        <v>7C 6D</v>
      </c>
      <c r="D742" t="s">
        <v>45</v>
      </c>
      <c r="E742" t="s">
        <v>50</v>
      </c>
      <c r="F742">
        <v>2131213</v>
      </c>
      <c r="G742">
        <v>1065995</v>
      </c>
    </row>
    <row r="743" spans="2:7" x14ac:dyDescent="0.3">
      <c r="B743" t="str">
        <f t="shared" si="22"/>
        <v>76o</v>
      </c>
      <c r="C743" t="str">
        <f t="shared" si="23"/>
        <v>7C 6H</v>
      </c>
      <c r="D743" t="s">
        <v>45</v>
      </c>
      <c r="E743" t="s">
        <v>51</v>
      </c>
      <c r="F743">
        <v>2131213</v>
      </c>
      <c r="G743">
        <v>1057803</v>
      </c>
    </row>
    <row r="744" spans="2:7" x14ac:dyDescent="0.3">
      <c r="B744" t="str">
        <f t="shared" si="22"/>
        <v>76o</v>
      </c>
      <c r="C744" t="str">
        <f t="shared" si="23"/>
        <v>7C 6S</v>
      </c>
      <c r="D744" t="s">
        <v>45</v>
      </c>
      <c r="E744" t="s">
        <v>52</v>
      </c>
      <c r="F744">
        <v>2131213</v>
      </c>
      <c r="G744">
        <v>1053707</v>
      </c>
    </row>
    <row r="745" spans="2:7" x14ac:dyDescent="0.3">
      <c r="B745" t="str">
        <f t="shared" si="22"/>
        <v>76o</v>
      </c>
      <c r="C745" t="str">
        <f t="shared" si="23"/>
        <v>7D 6C</v>
      </c>
      <c r="D745" t="s">
        <v>46</v>
      </c>
      <c r="E745" t="s">
        <v>49</v>
      </c>
      <c r="F745">
        <v>2114829</v>
      </c>
      <c r="G745">
        <v>1082379</v>
      </c>
    </row>
    <row r="746" spans="2:7" x14ac:dyDescent="0.3">
      <c r="B746" t="str">
        <f t="shared" si="22"/>
        <v>76o</v>
      </c>
      <c r="C746" t="str">
        <f t="shared" si="23"/>
        <v>7D 6H</v>
      </c>
      <c r="D746" t="s">
        <v>46</v>
      </c>
      <c r="E746" t="s">
        <v>51</v>
      </c>
      <c r="F746">
        <v>2114829</v>
      </c>
      <c r="G746">
        <v>1057803</v>
      </c>
    </row>
    <row r="747" spans="2:7" x14ac:dyDescent="0.3">
      <c r="B747" t="str">
        <f t="shared" si="22"/>
        <v>76o</v>
      </c>
      <c r="C747" t="str">
        <f t="shared" si="23"/>
        <v>7D 6S</v>
      </c>
      <c r="D747" t="s">
        <v>46</v>
      </c>
      <c r="E747" t="s">
        <v>52</v>
      </c>
      <c r="F747">
        <v>2114829</v>
      </c>
      <c r="G747">
        <v>1053707</v>
      </c>
    </row>
    <row r="748" spans="2:7" x14ac:dyDescent="0.3">
      <c r="B748" t="str">
        <f t="shared" si="22"/>
        <v>76o</v>
      </c>
      <c r="C748" t="str">
        <f t="shared" si="23"/>
        <v>7H 6C</v>
      </c>
      <c r="D748" t="s">
        <v>47</v>
      </c>
      <c r="E748" t="s">
        <v>49</v>
      </c>
      <c r="F748">
        <v>2106637</v>
      </c>
      <c r="G748">
        <v>1082379</v>
      </c>
    </row>
    <row r="749" spans="2:7" x14ac:dyDescent="0.3">
      <c r="B749" t="str">
        <f t="shared" si="22"/>
        <v>76o</v>
      </c>
      <c r="C749" t="str">
        <f t="shared" si="23"/>
        <v>7H 6D</v>
      </c>
      <c r="D749" t="s">
        <v>47</v>
      </c>
      <c r="E749" t="s">
        <v>50</v>
      </c>
      <c r="F749">
        <v>2106637</v>
      </c>
      <c r="G749">
        <v>1065995</v>
      </c>
    </row>
    <row r="750" spans="2:7" x14ac:dyDescent="0.3">
      <c r="B750" t="str">
        <f t="shared" si="22"/>
        <v>76o</v>
      </c>
      <c r="C750" t="str">
        <f t="shared" si="23"/>
        <v>7H 6S</v>
      </c>
      <c r="D750" t="s">
        <v>47</v>
      </c>
      <c r="E750" t="s">
        <v>52</v>
      </c>
      <c r="F750">
        <v>2106637</v>
      </c>
      <c r="G750">
        <v>1053707</v>
      </c>
    </row>
    <row r="751" spans="2:7" x14ac:dyDescent="0.3">
      <c r="B751" t="str">
        <f t="shared" si="22"/>
        <v>76o</v>
      </c>
      <c r="C751" t="str">
        <f t="shared" si="23"/>
        <v>7S 6C</v>
      </c>
      <c r="D751" t="s">
        <v>48</v>
      </c>
      <c r="E751" t="s">
        <v>49</v>
      </c>
      <c r="F751">
        <v>2102541</v>
      </c>
      <c r="G751">
        <v>1082379</v>
      </c>
    </row>
    <row r="752" spans="2:7" x14ac:dyDescent="0.3">
      <c r="B752" t="str">
        <f t="shared" si="22"/>
        <v>76o</v>
      </c>
      <c r="C752" t="str">
        <f t="shared" si="23"/>
        <v>7S 6D</v>
      </c>
      <c r="D752" t="s">
        <v>48</v>
      </c>
      <c r="E752" t="s">
        <v>50</v>
      </c>
      <c r="F752">
        <v>2102541</v>
      </c>
      <c r="G752">
        <v>1065995</v>
      </c>
    </row>
    <row r="753" spans="2:7" x14ac:dyDescent="0.3">
      <c r="B753" t="str">
        <f t="shared" si="22"/>
        <v>76o</v>
      </c>
      <c r="C753" t="str">
        <f t="shared" si="23"/>
        <v>7S 6H</v>
      </c>
      <c r="D753" t="s">
        <v>48</v>
      </c>
      <c r="E753" t="s">
        <v>51</v>
      </c>
      <c r="F753">
        <v>2102541</v>
      </c>
      <c r="G753">
        <v>1057803</v>
      </c>
    </row>
    <row r="754" spans="2:7" x14ac:dyDescent="0.3">
      <c r="B754" t="str">
        <f t="shared" si="22"/>
        <v>66</v>
      </c>
      <c r="C754" t="str">
        <f t="shared" si="23"/>
        <v>6C 6D</v>
      </c>
      <c r="D754" t="s">
        <v>49</v>
      </c>
      <c r="E754" t="s">
        <v>50</v>
      </c>
      <c r="F754">
        <v>1082379</v>
      </c>
      <c r="G754">
        <v>1065995</v>
      </c>
    </row>
    <row r="755" spans="2:7" x14ac:dyDescent="0.3">
      <c r="B755" t="str">
        <f t="shared" si="22"/>
        <v>66</v>
      </c>
      <c r="C755" t="str">
        <f t="shared" si="23"/>
        <v>6C 6H</v>
      </c>
      <c r="D755" t="s">
        <v>49</v>
      </c>
      <c r="E755" t="s">
        <v>51</v>
      </c>
      <c r="F755">
        <v>1082379</v>
      </c>
      <c r="G755">
        <v>1057803</v>
      </c>
    </row>
    <row r="756" spans="2:7" x14ac:dyDescent="0.3">
      <c r="B756" t="str">
        <f t="shared" si="22"/>
        <v>66</v>
      </c>
      <c r="C756" t="str">
        <f t="shared" si="23"/>
        <v>6C 6S</v>
      </c>
      <c r="D756" t="s">
        <v>49</v>
      </c>
      <c r="E756" t="s">
        <v>52</v>
      </c>
      <c r="F756">
        <v>1082379</v>
      </c>
      <c r="G756">
        <v>1053707</v>
      </c>
    </row>
    <row r="757" spans="2:7" x14ac:dyDescent="0.3">
      <c r="B757" t="str">
        <f t="shared" si="22"/>
        <v>66</v>
      </c>
      <c r="C757" t="str">
        <f t="shared" si="23"/>
        <v>6D 6H</v>
      </c>
      <c r="D757" t="s">
        <v>50</v>
      </c>
      <c r="E757" t="s">
        <v>51</v>
      </c>
      <c r="F757">
        <v>1065995</v>
      </c>
      <c r="G757">
        <v>1057803</v>
      </c>
    </row>
    <row r="758" spans="2:7" x14ac:dyDescent="0.3">
      <c r="B758" t="str">
        <f t="shared" si="22"/>
        <v>66</v>
      </c>
      <c r="C758" t="str">
        <f t="shared" si="23"/>
        <v>6D 6S</v>
      </c>
      <c r="D758" t="s">
        <v>50</v>
      </c>
      <c r="E758" t="s">
        <v>52</v>
      </c>
      <c r="F758">
        <v>1065995</v>
      </c>
      <c r="G758">
        <v>1053707</v>
      </c>
    </row>
    <row r="759" spans="2:7" x14ac:dyDescent="0.3">
      <c r="B759" t="str">
        <f t="shared" si="22"/>
        <v>66</v>
      </c>
      <c r="C759" t="str">
        <f t="shared" si="23"/>
        <v>6H 6S</v>
      </c>
      <c r="D759" t="s">
        <v>51</v>
      </c>
      <c r="E759" t="s">
        <v>52</v>
      </c>
      <c r="F759">
        <v>1057803</v>
      </c>
      <c r="G759">
        <v>1053707</v>
      </c>
    </row>
    <row r="760" spans="2:7" x14ac:dyDescent="0.3">
      <c r="B760" t="str">
        <f t="shared" si="22"/>
        <v>65s</v>
      </c>
      <c r="C760" t="str">
        <f t="shared" si="23"/>
        <v>6C 5C</v>
      </c>
      <c r="D760" t="s">
        <v>49</v>
      </c>
      <c r="E760" t="s">
        <v>53</v>
      </c>
      <c r="F760">
        <v>1082379</v>
      </c>
      <c r="G760">
        <v>557831</v>
      </c>
    </row>
    <row r="761" spans="2:7" x14ac:dyDescent="0.3">
      <c r="B761" t="str">
        <f t="shared" si="22"/>
        <v>65s</v>
      </c>
      <c r="C761" t="str">
        <f t="shared" si="23"/>
        <v>6D 5D</v>
      </c>
      <c r="D761" t="s">
        <v>50</v>
      </c>
      <c r="E761" t="s">
        <v>54</v>
      </c>
      <c r="F761">
        <v>1065995</v>
      </c>
      <c r="G761">
        <v>541447</v>
      </c>
    </row>
    <row r="762" spans="2:7" x14ac:dyDescent="0.3">
      <c r="B762" t="str">
        <f t="shared" si="22"/>
        <v>65s</v>
      </c>
      <c r="C762" t="str">
        <f t="shared" si="23"/>
        <v>6H 5H</v>
      </c>
      <c r="D762" t="s">
        <v>51</v>
      </c>
      <c r="E762" t="s">
        <v>55</v>
      </c>
      <c r="F762">
        <v>1057803</v>
      </c>
      <c r="G762">
        <v>533255</v>
      </c>
    </row>
    <row r="763" spans="2:7" x14ac:dyDescent="0.3">
      <c r="B763" t="str">
        <f t="shared" si="22"/>
        <v>65s</v>
      </c>
      <c r="C763" t="str">
        <f t="shared" si="23"/>
        <v>6S 5S</v>
      </c>
      <c r="D763" t="s">
        <v>52</v>
      </c>
      <c r="E763" t="s">
        <v>56</v>
      </c>
      <c r="F763">
        <v>1053707</v>
      </c>
      <c r="G763">
        <v>529159</v>
      </c>
    </row>
    <row r="764" spans="2:7" x14ac:dyDescent="0.3">
      <c r="B764" t="str">
        <f t="shared" si="22"/>
        <v>64s</v>
      </c>
      <c r="C764" t="str">
        <f t="shared" si="23"/>
        <v>6C 4C</v>
      </c>
      <c r="D764" t="s">
        <v>49</v>
      </c>
      <c r="E764" t="s">
        <v>57</v>
      </c>
      <c r="F764">
        <v>1082379</v>
      </c>
      <c r="G764">
        <v>295429</v>
      </c>
    </row>
    <row r="765" spans="2:7" x14ac:dyDescent="0.3">
      <c r="B765" t="str">
        <f t="shared" si="22"/>
        <v>64s</v>
      </c>
      <c r="C765" t="str">
        <f t="shared" si="23"/>
        <v>6D 4D</v>
      </c>
      <c r="D765" t="s">
        <v>50</v>
      </c>
      <c r="E765" t="s">
        <v>58</v>
      </c>
      <c r="F765">
        <v>1065995</v>
      </c>
      <c r="G765">
        <v>279045</v>
      </c>
    </row>
    <row r="766" spans="2:7" x14ac:dyDescent="0.3">
      <c r="B766" t="str">
        <f t="shared" si="22"/>
        <v>64s</v>
      </c>
      <c r="C766" t="str">
        <f t="shared" si="23"/>
        <v>6H 4H</v>
      </c>
      <c r="D766" t="s">
        <v>51</v>
      </c>
      <c r="E766" t="s">
        <v>59</v>
      </c>
      <c r="F766">
        <v>1057803</v>
      </c>
      <c r="G766">
        <v>270853</v>
      </c>
    </row>
    <row r="767" spans="2:7" x14ac:dyDescent="0.3">
      <c r="B767" t="str">
        <f t="shared" si="22"/>
        <v>64s</v>
      </c>
      <c r="C767" t="str">
        <f t="shared" si="23"/>
        <v>6S 4S</v>
      </c>
      <c r="D767" t="s">
        <v>52</v>
      </c>
      <c r="E767" t="s">
        <v>60</v>
      </c>
      <c r="F767">
        <v>1053707</v>
      </c>
      <c r="G767">
        <v>266757</v>
      </c>
    </row>
    <row r="768" spans="2:7" x14ac:dyDescent="0.3">
      <c r="B768" t="str">
        <f t="shared" si="22"/>
        <v>63s</v>
      </c>
      <c r="C768" t="str">
        <f t="shared" si="23"/>
        <v>6C 3C</v>
      </c>
      <c r="D768" t="s">
        <v>49</v>
      </c>
      <c r="E768" t="s">
        <v>61</v>
      </c>
      <c r="F768">
        <v>1082379</v>
      </c>
      <c r="G768">
        <v>164099</v>
      </c>
    </row>
    <row r="769" spans="2:7" x14ac:dyDescent="0.3">
      <c r="B769" t="str">
        <f t="shared" si="22"/>
        <v>63s</v>
      </c>
      <c r="C769" t="str">
        <f t="shared" si="23"/>
        <v>6D 3D</v>
      </c>
      <c r="D769" t="s">
        <v>50</v>
      </c>
      <c r="E769" t="s">
        <v>62</v>
      </c>
      <c r="F769">
        <v>1065995</v>
      </c>
      <c r="G769">
        <v>147715</v>
      </c>
    </row>
    <row r="770" spans="2:7" x14ac:dyDescent="0.3">
      <c r="B770" t="str">
        <f t="shared" si="22"/>
        <v>63s</v>
      </c>
      <c r="C770" t="str">
        <f t="shared" si="23"/>
        <v>6H 3H</v>
      </c>
      <c r="D770" t="s">
        <v>51</v>
      </c>
      <c r="E770" t="s">
        <v>63</v>
      </c>
      <c r="F770">
        <v>1057803</v>
      </c>
      <c r="G770">
        <v>139523</v>
      </c>
    </row>
    <row r="771" spans="2:7" x14ac:dyDescent="0.3">
      <c r="B771" t="str">
        <f t="shared" ref="B771:B834" si="24">LEFT(D771,1)&amp;LEFT(E771,1)&amp;IF(LEFT(D771,1)=LEFT(E771,1), "", IF(RIGHT(D771,1)=RIGHT(E771,1), "s", "o"))</f>
        <v>63s</v>
      </c>
      <c r="C771" t="str">
        <f t="shared" ref="C771:C834" si="25">UPPER(D771&amp;" "&amp;E771)</f>
        <v>6S 3S</v>
      </c>
      <c r="D771" t="s">
        <v>52</v>
      </c>
      <c r="E771" t="s">
        <v>64</v>
      </c>
      <c r="F771">
        <v>1053707</v>
      </c>
      <c r="G771">
        <v>135427</v>
      </c>
    </row>
    <row r="772" spans="2:7" x14ac:dyDescent="0.3">
      <c r="B772" t="str">
        <f t="shared" si="24"/>
        <v>62s</v>
      </c>
      <c r="C772" t="str">
        <f t="shared" si="25"/>
        <v>6C 2C</v>
      </c>
      <c r="D772" t="s">
        <v>49</v>
      </c>
      <c r="E772" t="s">
        <v>65</v>
      </c>
      <c r="F772">
        <v>1082379</v>
      </c>
      <c r="G772">
        <v>98306</v>
      </c>
    </row>
    <row r="773" spans="2:7" x14ac:dyDescent="0.3">
      <c r="B773" t="str">
        <f t="shared" si="24"/>
        <v>62s</v>
      </c>
      <c r="C773" t="str">
        <f t="shared" si="25"/>
        <v>6D 2D</v>
      </c>
      <c r="D773" t="s">
        <v>50</v>
      </c>
      <c r="E773" t="s">
        <v>66</v>
      </c>
      <c r="F773">
        <v>1065995</v>
      </c>
      <c r="G773">
        <v>81922</v>
      </c>
    </row>
    <row r="774" spans="2:7" x14ac:dyDescent="0.3">
      <c r="B774" t="str">
        <f t="shared" si="24"/>
        <v>62s</v>
      </c>
      <c r="C774" t="str">
        <f t="shared" si="25"/>
        <v>6H 2H</v>
      </c>
      <c r="D774" t="s">
        <v>51</v>
      </c>
      <c r="E774" t="s">
        <v>67</v>
      </c>
      <c r="F774">
        <v>1057803</v>
      </c>
      <c r="G774">
        <v>73730</v>
      </c>
    </row>
    <row r="775" spans="2:7" x14ac:dyDescent="0.3">
      <c r="B775" t="str">
        <f t="shared" si="24"/>
        <v>62s</v>
      </c>
      <c r="C775" t="str">
        <f t="shared" si="25"/>
        <v>6S 2S</v>
      </c>
      <c r="D775" t="s">
        <v>52</v>
      </c>
      <c r="E775" t="s">
        <v>68</v>
      </c>
      <c r="F775">
        <v>1053707</v>
      </c>
      <c r="G775">
        <v>69634</v>
      </c>
    </row>
    <row r="776" spans="2:7" x14ac:dyDescent="0.3">
      <c r="B776" t="str">
        <f t="shared" si="24"/>
        <v>A5o</v>
      </c>
      <c r="C776" t="str">
        <f t="shared" si="25"/>
        <v>AC 5D</v>
      </c>
      <c r="D776" t="s">
        <v>17</v>
      </c>
      <c r="E776" t="s">
        <v>54</v>
      </c>
      <c r="F776">
        <v>268471337</v>
      </c>
      <c r="G776">
        <v>541447</v>
      </c>
    </row>
    <row r="777" spans="2:7" x14ac:dyDescent="0.3">
      <c r="B777" t="str">
        <f t="shared" si="24"/>
        <v>A5o</v>
      </c>
      <c r="C777" t="str">
        <f t="shared" si="25"/>
        <v>AC 5H</v>
      </c>
      <c r="D777" t="s">
        <v>17</v>
      </c>
      <c r="E777" t="s">
        <v>55</v>
      </c>
      <c r="F777">
        <v>268471337</v>
      </c>
      <c r="G777">
        <v>533255</v>
      </c>
    </row>
    <row r="778" spans="2:7" x14ac:dyDescent="0.3">
      <c r="B778" t="str">
        <f t="shared" si="24"/>
        <v>A5o</v>
      </c>
      <c r="C778" t="str">
        <f t="shared" si="25"/>
        <v>AC 5S</v>
      </c>
      <c r="D778" t="s">
        <v>17</v>
      </c>
      <c r="E778" t="s">
        <v>56</v>
      </c>
      <c r="F778">
        <v>268471337</v>
      </c>
      <c r="G778">
        <v>529159</v>
      </c>
    </row>
    <row r="779" spans="2:7" x14ac:dyDescent="0.3">
      <c r="B779" t="str">
        <f t="shared" si="24"/>
        <v>A5o</v>
      </c>
      <c r="C779" t="str">
        <f t="shared" si="25"/>
        <v>AD 5C</v>
      </c>
      <c r="D779" t="s">
        <v>18</v>
      </c>
      <c r="E779" t="s">
        <v>53</v>
      </c>
      <c r="F779">
        <v>268454953</v>
      </c>
      <c r="G779">
        <v>557831</v>
      </c>
    </row>
    <row r="780" spans="2:7" x14ac:dyDescent="0.3">
      <c r="B780" t="str">
        <f t="shared" si="24"/>
        <v>A5o</v>
      </c>
      <c r="C780" t="str">
        <f t="shared" si="25"/>
        <v>AD 5H</v>
      </c>
      <c r="D780" t="s">
        <v>18</v>
      </c>
      <c r="E780" t="s">
        <v>55</v>
      </c>
      <c r="F780">
        <v>268454953</v>
      </c>
      <c r="G780">
        <v>533255</v>
      </c>
    </row>
    <row r="781" spans="2:7" x14ac:dyDescent="0.3">
      <c r="B781" t="str">
        <f t="shared" si="24"/>
        <v>A5o</v>
      </c>
      <c r="C781" t="str">
        <f t="shared" si="25"/>
        <v>AD 5S</v>
      </c>
      <c r="D781" t="s">
        <v>18</v>
      </c>
      <c r="E781" t="s">
        <v>56</v>
      </c>
      <c r="F781">
        <v>268454953</v>
      </c>
      <c r="G781">
        <v>529159</v>
      </c>
    </row>
    <row r="782" spans="2:7" x14ac:dyDescent="0.3">
      <c r="B782" t="str">
        <f t="shared" si="24"/>
        <v>A5o</v>
      </c>
      <c r="C782" t="str">
        <f t="shared" si="25"/>
        <v>AH 5C</v>
      </c>
      <c r="D782" t="s">
        <v>19</v>
      </c>
      <c r="E782" t="s">
        <v>53</v>
      </c>
      <c r="F782">
        <v>268446761</v>
      </c>
      <c r="G782">
        <v>557831</v>
      </c>
    </row>
    <row r="783" spans="2:7" x14ac:dyDescent="0.3">
      <c r="B783" t="str">
        <f t="shared" si="24"/>
        <v>A5o</v>
      </c>
      <c r="C783" t="str">
        <f t="shared" si="25"/>
        <v>AH 5D</v>
      </c>
      <c r="D783" t="s">
        <v>19</v>
      </c>
      <c r="E783" t="s">
        <v>54</v>
      </c>
      <c r="F783">
        <v>268446761</v>
      </c>
      <c r="G783">
        <v>541447</v>
      </c>
    </row>
    <row r="784" spans="2:7" x14ac:dyDescent="0.3">
      <c r="B784" t="str">
        <f t="shared" si="24"/>
        <v>A5o</v>
      </c>
      <c r="C784" t="str">
        <f t="shared" si="25"/>
        <v>AH 5S</v>
      </c>
      <c r="D784" t="s">
        <v>19</v>
      </c>
      <c r="E784" t="s">
        <v>56</v>
      </c>
      <c r="F784">
        <v>268446761</v>
      </c>
      <c r="G784">
        <v>529159</v>
      </c>
    </row>
    <row r="785" spans="2:7" x14ac:dyDescent="0.3">
      <c r="B785" t="str">
        <f t="shared" si="24"/>
        <v>A5o</v>
      </c>
      <c r="C785" t="str">
        <f t="shared" si="25"/>
        <v>AS 5C</v>
      </c>
      <c r="D785" t="s">
        <v>20</v>
      </c>
      <c r="E785" t="s">
        <v>53</v>
      </c>
      <c r="F785">
        <v>268442665</v>
      </c>
      <c r="G785">
        <v>557831</v>
      </c>
    </row>
    <row r="786" spans="2:7" x14ac:dyDescent="0.3">
      <c r="B786" t="str">
        <f t="shared" si="24"/>
        <v>A5o</v>
      </c>
      <c r="C786" t="str">
        <f t="shared" si="25"/>
        <v>AS 5D</v>
      </c>
      <c r="D786" t="s">
        <v>20</v>
      </c>
      <c r="E786" t="s">
        <v>54</v>
      </c>
      <c r="F786">
        <v>268442665</v>
      </c>
      <c r="G786">
        <v>541447</v>
      </c>
    </row>
    <row r="787" spans="2:7" x14ac:dyDescent="0.3">
      <c r="B787" t="str">
        <f t="shared" si="24"/>
        <v>A5o</v>
      </c>
      <c r="C787" t="str">
        <f t="shared" si="25"/>
        <v>AS 5H</v>
      </c>
      <c r="D787" t="s">
        <v>20</v>
      </c>
      <c r="E787" t="s">
        <v>55</v>
      </c>
      <c r="F787">
        <v>268442665</v>
      </c>
      <c r="G787">
        <v>533255</v>
      </c>
    </row>
    <row r="788" spans="2:7" x14ac:dyDescent="0.3">
      <c r="B788" t="str">
        <f t="shared" si="24"/>
        <v>K5o</v>
      </c>
      <c r="C788" t="str">
        <f t="shared" si="25"/>
        <v>KC 5D</v>
      </c>
      <c r="D788" t="s">
        <v>21</v>
      </c>
      <c r="E788" t="s">
        <v>54</v>
      </c>
      <c r="F788">
        <v>134253349</v>
      </c>
      <c r="G788">
        <v>541447</v>
      </c>
    </row>
    <row r="789" spans="2:7" x14ac:dyDescent="0.3">
      <c r="B789" t="str">
        <f t="shared" si="24"/>
        <v>K5o</v>
      </c>
      <c r="C789" t="str">
        <f t="shared" si="25"/>
        <v>KC 5H</v>
      </c>
      <c r="D789" t="s">
        <v>21</v>
      </c>
      <c r="E789" t="s">
        <v>55</v>
      </c>
      <c r="F789">
        <v>134253349</v>
      </c>
      <c r="G789">
        <v>533255</v>
      </c>
    </row>
    <row r="790" spans="2:7" x14ac:dyDescent="0.3">
      <c r="B790" t="str">
        <f t="shared" si="24"/>
        <v>K5o</v>
      </c>
      <c r="C790" t="str">
        <f t="shared" si="25"/>
        <v>KC 5S</v>
      </c>
      <c r="D790" t="s">
        <v>21</v>
      </c>
      <c r="E790" t="s">
        <v>56</v>
      </c>
      <c r="F790">
        <v>134253349</v>
      </c>
      <c r="G790">
        <v>529159</v>
      </c>
    </row>
    <row r="791" spans="2:7" x14ac:dyDescent="0.3">
      <c r="B791" t="str">
        <f t="shared" si="24"/>
        <v>K5o</v>
      </c>
      <c r="C791" t="str">
        <f t="shared" si="25"/>
        <v>KD 5C</v>
      </c>
      <c r="D791" t="s">
        <v>22</v>
      </c>
      <c r="E791" t="s">
        <v>53</v>
      </c>
      <c r="F791">
        <v>134236965</v>
      </c>
      <c r="G791">
        <v>557831</v>
      </c>
    </row>
    <row r="792" spans="2:7" x14ac:dyDescent="0.3">
      <c r="B792" t="str">
        <f t="shared" si="24"/>
        <v>K5o</v>
      </c>
      <c r="C792" t="str">
        <f t="shared" si="25"/>
        <v>KD 5H</v>
      </c>
      <c r="D792" t="s">
        <v>22</v>
      </c>
      <c r="E792" t="s">
        <v>55</v>
      </c>
      <c r="F792">
        <v>134236965</v>
      </c>
      <c r="G792">
        <v>533255</v>
      </c>
    </row>
    <row r="793" spans="2:7" x14ac:dyDescent="0.3">
      <c r="B793" t="str">
        <f t="shared" si="24"/>
        <v>K5o</v>
      </c>
      <c r="C793" t="str">
        <f t="shared" si="25"/>
        <v>KD 5S</v>
      </c>
      <c r="D793" t="s">
        <v>22</v>
      </c>
      <c r="E793" t="s">
        <v>56</v>
      </c>
      <c r="F793">
        <v>134236965</v>
      </c>
      <c r="G793">
        <v>529159</v>
      </c>
    </row>
    <row r="794" spans="2:7" x14ac:dyDescent="0.3">
      <c r="B794" t="str">
        <f t="shared" si="24"/>
        <v>K5o</v>
      </c>
      <c r="C794" t="str">
        <f t="shared" si="25"/>
        <v>KH 5C</v>
      </c>
      <c r="D794" t="s">
        <v>23</v>
      </c>
      <c r="E794" t="s">
        <v>53</v>
      </c>
      <c r="F794">
        <v>134228773</v>
      </c>
      <c r="G794">
        <v>557831</v>
      </c>
    </row>
    <row r="795" spans="2:7" x14ac:dyDescent="0.3">
      <c r="B795" t="str">
        <f t="shared" si="24"/>
        <v>K5o</v>
      </c>
      <c r="C795" t="str">
        <f t="shared" si="25"/>
        <v>KH 5D</v>
      </c>
      <c r="D795" t="s">
        <v>23</v>
      </c>
      <c r="E795" t="s">
        <v>54</v>
      </c>
      <c r="F795">
        <v>134228773</v>
      </c>
      <c r="G795">
        <v>541447</v>
      </c>
    </row>
    <row r="796" spans="2:7" x14ac:dyDescent="0.3">
      <c r="B796" t="str">
        <f t="shared" si="24"/>
        <v>K5o</v>
      </c>
      <c r="C796" t="str">
        <f t="shared" si="25"/>
        <v>KH 5S</v>
      </c>
      <c r="D796" t="s">
        <v>23</v>
      </c>
      <c r="E796" t="s">
        <v>56</v>
      </c>
      <c r="F796">
        <v>134228773</v>
      </c>
      <c r="G796">
        <v>529159</v>
      </c>
    </row>
    <row r="797" spans="2:7" x14ac:dyDescent="0.3">
      <c r="B797" t="str">
        <f t="shared" si="24"/>
        <v>K5o</v>
      </c>
      <c r="C797" t="str">
        <f t="shared" si="25"/>
        <v>KS 5C</v>
      </c>
      <c r="D797" t="s">
        <v>24</v>
      </c>
      <c r="E797" t="s">
        <v>53</v>
      </c>
      <c r="F797">
        <v>134224677</v>
      </c>
      <c r="G797">
        <v>557831</v>
      </c>
    </row>
    <row r="798" spans="2:7" x14ac:dyDescent="0.3">
      <c r="B798" t="str">
        <f t="shared" si="24"/>
        <v>K5o</v>
      </c>
      <c r="C798" t="str">
        <f t="shared" si="25"/>
        <v>KS 5D</v>
      </c>
      <c r="D798" t="s">
        <v>24</v>
      </c>
      <c r="E798" t="s">
        <v>54</v>
      </c>
      <c r="F798">
        <v>134224677</v>
      </c>
      <c r="G798">
        <v>541447</v>
      </c>
    </row>
    <row r="799" spans="2:7" x14ac:dyDescent="0.3">
      <c r="B799" t="str">
        <f t="shared" si="24"/>
        <v>K5o</v>
      </c>
      <c r="C799" t="str">
        <f t="shared" si="25"/>
        <v>KS 5H</v>
      </c>
      <c r="D799" t="s">
        <v>24</v>
      </c>
      <c r="E799" t="s">
        <v>55</v>
      </c>
      <c r="F799">
        <v>134224677</v>
      </c>
      <c r="G799">
        <v>533255</v>
      </c>
    </row>
    <row r="800" spans="2:7" x14ac:dyDescent="0.3">
      <c r="B800" t="str">
        <f t="shared" si="24"/>
        <v>Q5o</v>
      </c>
      <c r="C800" t="str">
        <f t="shared" si="25"/>
        <v>QC 5D</v>
      </c>
      <c r="D800" t="s">
        <v>25</v>
      </c>
      <c r="E800" t="s">
        <v>54</v>
      </c>
      <c r="F800">
        <v>67144223</v>
      </c>
      <c r="G800">
        <v>541447</v>
      </c>
    </row>
    <row r="801" spans="2:7" x14ac:dyDescent="0.3">
      <c r="B801" t="str">
        <f t="shared" si="24"/>
        <v>Q5o</v>
      </c>
      <c r="C801" t="str">
        <f t="shared" si="25"/>
        <v>QC 5H</v>
      </c>
      <c r="D801" t="s">
        <v>25</v>
      </c>
      <c r="E801" t="s">
        <v>55</v>
      </c>
      <c r="F801">
        <v>67144223</v>
      </c>
      <c r="G801">
        <v>533255</v>
      </c>
    </row>
    <row r="802" spans="2:7" x14ac:dyDescent="0.3">
      <c r="B802" t="str">
        <f t="shared" si="24"/>
        <v>Q5o</v>
      </c>
      <c r="C802" t="str">
        <f t="shared" si="25"/>
        <v>QC 5S</v>
      </c>
      <c r="D802" t="s">
        <v>25</v>
      </c>
      <c r="E802" t="s">
        <v>56</v>
      </c>
      <c r="F802">
        <v>67144223</v>
      </c>
      <c r="G802">
        <v>529159</v>
      </c>
    </row>
    <row r="803" spans="2:7" x14ac:dyDescent="0.3">
      <c r="B803" t="str">
        <f t="shared" si="24"/>
        <v>Q5o</v>
      </c>
      <c r="C803" t="str">
        <f t="shared" si="25"/>
        <v>QD 5C</v>
      </c>
      <c r="D803" t="s">
        <v>26</v>
      </c>
      <c r="E803" t="s">
        <v>53</v>
      </c>
      <c r="F803">
        <v>67127839</v>
      </c>
      <c r="G803">
        <v>557831</v>
      </c>
    </row>
    <row r="804" spans="2:7" x14ac:dyDescent="0.3">
      <c r="B804" t="str">
        <f t="shared" si="24"/>
        <v>Q5o</v>
      </c>
      <c r="C804" t="str">
        <f t="shared" si="25"/>
        <v>QD 5H</v>
      </c>
      <c r="D804" t="s">
        <v>26</v>
      </c>
      <c r="E804" t="s">
        <v>55</v>
      </c>
      <c r="F804">
        <v>67127839</v>
      </c>
      <c r="G804">
        <v>533255</v>
      </c>
    </row>
    <row r="805" spans="2:7" x14ac:dyDescent="0.3">
      <c r="B805" t="str">
        <f t="shared" si="24"/>
        <v>Q5o</v>
      </c>
      <c r="C805" t="str">
        <f t="shared" si="25"/>
        <v>QD 5S</v>
      </c>
      <c r="D805" t="s">
        <v>26</v>
      </c>
      <c r="E805" t="s">
        <v>56</v>
      </c>
      <c r="F805">
        <v>67127839</v>
      </c>
      <c r="G805">
        <v>529159</v>
      </c>
    </row>
    <row r="806" spans="2:7" x14ac:dyDescent="0.3">
      <c r="B806" t="str">
        <f t="shared" si="24"/>
        <v>Q5o</v>
      </c>
      <c r="C806" t="str">
        <f t="shared" si="25"/>
        <v>QH 5C</v>
      </c>
      <c r="D806" t="s">
        <v>27</v>
      </c>
      <c r="E806" t="s">
        <v>53</v>
      </c>
      <c r="F806">
        <v>67119647</v>
      </c>
      <c r="G806">
        <v>557831</v>
      </c>
    </row>
    <row r="807" spans="2:7" x14ac:dyDescent="0.3">
      <c r="B807" t="str">
        <f t="shared" si="24"/>
        <v>Q5o</v>
      </c>
      <c r="C807" t="str">
        <f t="shared" si="25"/>
        <v>QH 5D</v>
      </c>
      <c r="D807" t="s">
        <v>27</v>
      </c>
      <c r="E807" t="s">
        <v>54</v>
      </c>
      <c r="F807">
        <v>67119647</v>
      </c>
      <c r="G807">
        <v>541447</v>
      </c>
    </row>
    <row r="808" spans="2:7" x14ac:dyDescent="0.3">
      <c r="B808" t="str">
        <f t="shared" si="24"/>
        <v>Q5o</v>
      </c>
      <c r="C808" t="str">
        <f t="shared" si="25"/>
        <v>QH 5S</v>
      </c>
      <c r="D808" t="s">
        <v>27</v>
      </c>
      <c r="E808" t="s">
        <v>56</v>
      </c>
      <c r="F808">
        <v>67119647</v>
      </c>
      <c r="G808">
        <v>529159</v>
      </c>
    </row>
    <row r="809" spans="2:7" x14ac:dyDescent="0.3">
      <c r="B809" t="str">
        <f t="shared" si="24"/>
        <v>Q5o</v>
      </c>
      <c r="C809" t="str">
        <f t="shared" si="25"/>
        <v>QS 5C</v>
      </c>
      <c r="D809" t="s">
        <v>28</v>
      </c>
      <c r="E809" t="s">
        <v>53</v>
      </c>
      <c r="F809">
        <v>67115551</v>
      </c>
      <c r="G809">
        <v>557831</v>
      </c>
    </row>
    <row r="810" spans="2:7" x14ac:dyDescent="0.3">
      <c r="B810" t="str">
        <f t="shared" si="24"/>
        <v>Q5o</v>
      </c>
      <c r="C810" t="str">
        <f t="shared" si="25"/>
        <v>QS 5D</v>
      </c>
      <c r="D810" t="s">
        <v>28</v>
      </c>
      <c r="E810" t="s">
        <v>54</v>
      </c>
      <c r="F810">
        <v>67115551</v>
      </c>
      <c r="G810">
        <v>541447</v>
      </c>
    </row>
    <row r="811" spans="2:7" x14ac:dyDescent="0.3">
      <c r="B811" t="str">
        <f t="shared" si="24"/>
        <v>Q5o</v>
      </c>
      <c r="C811" t="str">
        <f t="shared" si="25"/>
        <v>QS 5H</v>
      </c>
      <c r="D811" t="s">
        <v>28</v>
      </c>
      <c r="E811" t="s">
        <v>55</v>
      </c>
      <c r="F811">
        <v>67115551</v>
      </c>
      <c r="G811">
        <v>533255</v>
      </c>
    </row>
    <row r="812" spans="2:7" x14ac:dyDescent="0.3">
      <c r="B812" t="str">
        <f t="shared" si="24"/>
        <v>J5o</v>
      </c>
      <c r="C812" t="str">
        <f t="shared" si="25"/>
        <v>JC 5D</v>
      </c>
      <c r="D812" t="s">
        <v>29</v>
      </c>
      <c r="E812" t="s">
        <v>54</v>
      </c>
      <c r="F812">
        <v>33589533</v>
      </c>
      <c r="G812">
        <v>541447</v>
      </c>
    </row>
    <row r="813" spans="2:7" x14ac:dyDescent="0.3">
      <c r="B813" t="str">
        <f t="shared" si="24"/>
        <v>J5o</v>
      </c>
      <c r="C813" t="str">
        <f t="shared" si="25"/>
        <v>JC 5H</v>
      </c>
      <c r="D813" t="s">
        <v>29</v>
      </c>
      <c r="E813" t="s">
        <v>55</v>
      </c>
      <c r="F813">
        <v>33589533</v>
      </c>
      <c r="G813">
        <v>533255</v>
      </c>
    </row>
    <row r="814" spans="2:7" x14ac:dyDescent="0.3">
      <c r="B814" t="str">
        <f t="shared" si="24"/>
        <v>J5o</v>
      </c>
      <c r="C814" t="str">
        <f t="shared" si="25"/>
        <v>JC 5S</v>
      </c>
      <c r="D814" t="s">
        <v>29</v>
      </c>
      <c r="E814" t="s">
        <v>56</v>
      </c>
      <c r="F814">
        <v>33589533</v>
      </c>
      <c r="G814">
        <v>529159</v>
      </c>
    </row>
    <row r="815" spans="2:7" x14ac:dyDescent="0.3">
      <c r="B815" t="str">
        <f t="shared" si="24"/>
        <v>J5o</v>
      </c>
      <c r="C815" t="str">
        <f t="shared" si="25"/>
        <v>JD 5C</v>
      </c>
      <c r="D815" t="s">
        <v>30</v>
      </c>
      <c r="E815" t="s">
        <v>53</v>
      </c>
      <c r="F815">
        <v>33573149</v>
      </c>
      <c r="G815">
        <v>557831</v>
      </c>
    </row>
    <row r="816" spans="2:7" x14ac:dyDescent="0.3">
      <c r="B816" t="str">
        <f t="shared" si="24"/>
        <v>J5o</v>
      </c>
      <c r="C816" t="str">
        <f t="shared" si="25"/>
        <v>JD 5H</v>
      </c>
      <c r="D816" t="s">
        <v>30</v>
      </c>
      <c r="E816" t="s">
        <v>55</v>
      </c>
      <c r="F816">
        <v>33573149</v>
      </c>
      <c r="G816">
        <v>533255</v>
      </c>
    </row>
    <row r="817" spans="2:7" x14ac:dyDescent="0.3">
      <c r="B817" t="str">
        <f t="shared" si="24"/>
        <v>J5o</v>
      </c>
      <c r="C817" t="str">
        <f t="shared" si="25"/>
        <v>JD 5S</v>
      </c>
      <c r="D817" t="s">
        <v>30</v>
      </c>
      <c r="E817" t="s">
        <v>56</v>
      </c>
      <c r="F817">
        <v>33573149</v>
      </c>
      <c r="G817">
        <v>529159</v>
      </c>
    </row>
    <row r="818" spans="2:7" x14ac:dyDescent="0.3">
      <c r="B818" t="str">
        <f t="shared" si="24"/>
        <v>J5o</v>
      </c>
      <c r="C818" t="str">
        <f t="shared" si="25"/>
        <v>JH 5C</v>
      </c>
      <c r="D818" t="s">
        <v>31</v>
      </c>
      <c r="E818" t="s">
        <v>53</v>
      </c>
      <c r="F818">
        <v>33564957</v>
      </c>
      <c r="G818">
        <v>557831</v>
      </c>
    </row>
    <row r="819" spans="2:7" x14ac:dyDescent="0.3">
      <c r="B819" t="str">
        <f t="shared" si="24"/>
        <v>J5o</v>
      </c>
      <c r="C819" t="str">
        <f t="shared" si="25"/>
        <v>JH 5D</v>
      </c>
      <c r="D819" t="s">
        <v>31</v>
      </c>
      <c r="E819" t="s">
        <v>54</v>
      </c>
      <c r="F819">
        <v>33564957</v>
      </c>
      <c r="G819">
        <v>541447</v>
      </c>
    </row>
    <row r="820" spans="2:7" x14ac:dyDescent="0.3">
      <c r="B820" t="str">
        <f t="shared" si="24"/>
        <v>J5o</v>
      </c>
      <c r="C820" t="str">
        <f t="shared" si="25"/>
        <v>JH 5S</v>
      </c>
      <c r="D820" t="s">
        <v>31</v>
      </c>
      <c r="E820" t="s">
        <v>56</v>
      </c>
      <c r="F820">
        <v>33564957</v>
      </c>
      <c r="G820">
        <v>529159</v>
      </c>
    </row>
    <row r="821" spans="2:7" x14ac:dyDescent="0.3">
      <c r="B821" t="str">
        <f t="shared" si="24"/>
        <v>J5o</v>
      </c>
      <c r="C821" t="str">
        <f t="shared" si="25"/>
        <v>JS 5C</v>
      </c>
      <c r="D821" t="s">
        <v>32</v>
      </c>
      <c r="E821" t="s">
        <v>53</v>
      </c>
      <c r="F821">
        <v>33560861</v>
      </c>
      <c r="G821">
        <v>557831</v>
      </c>
    </row>
    <row r="822" spans="2:7" x14ac:dyDescent="0.3">
      <c r="B822" t="str">
        <f t="shared" si="24"/>
        <v>J5o</v>
      </c>
      <c r="C822" t="str">
        <f t="shared" si="25"/>
        <v>JS 5D</v>
      </c>
      <c r="D822" t="s">
        <v>32</v>
      </c>
      <c r="E822" t="s">
        <v>54</v>
      </c>
      <c r="F822">
        <v>33560861</v>
      </c>
      <c r="G822">
        <v>541447</v>
      </c>
    </row>
    <row r="823" spans="2:7" x14ac:dyDescent="0.3">
      <c r="B823" t="str">
        <f t="shared" si="24"/>
        <v>J5o</v>
      </c>
      <c r="C823" t="str">
        <f t="shared" si="25"/>
        <v>JS 5H</v>
      </c>
      <c r="D823" t="s">
        <v>32</v>
      </c>
      <c r="E823" t="s">
        <v>55</v>
      </c>
      <c r="F823">
        <v>33560861</v>
      </c>
      <c r="G823">
        <v>533255</v>
      </c>
    </row>
    <row r="824" spans="2:7" x14ac:dyDescent="0.3">
      <c r="B824" t="str">
        <f t="shared" si="24"/>
        <v>T5o</v>
      </c>
      <c r="C824" t="str">
        <f t="shared" si="25"/>
        <v>TC 5D</v>
      </c>
      <c r="D824" t="s">
        <v>33</v>
      </c>
      <c r="E824" t="s">
        <v>54</v>
      </c>
      <c r="F824">
        <v>16812055</v>
      </c>
      <c r="G824">
        <v>541447</v>
      </c>
    </row>
    <row r="825" spans="2:7" x14ac:dyDescent="0.3">
      <c r="B825" t="str">
        <f t="shared" si="24"/>
        <v>T5o</v>
      </c>
      <c r="C825" t="str">
        <f t="shared" si="25"/>
        <v>TC 5H</v>
      </c>
      <c r="D825" t="s">
        <v>33</v>
      </c>
      <c r="E825" t="s">
        <v>55</v>
      </c>
      <c r="F825">
        <v>16812055</v>
      </c>
      <c r="G825">
        <v>533255</v>
      </c>
    </row>
    <row r="826" spans="2:7" x14ac:dyDescent="0.3">
      <c r="B826" t="str">
        <f t="shared" si="24"/>
        <v>T5o</v>
      </c>
      <c r="C826" t="str">
        <f t="shared" si="25"/>
        <v>TC 5S</v>
      </c>
      <c r="D826" t="s">
        <v>33</v>
      </c>
      <c r="E826" t="s">
        <v>56</v>
      </c>
      <c r="F826">
        <v>16812055</v>
      </c>
      <c r="G826">
        <v>529159</v>
      </c>
    </row>
    <row r="827" spans="2:7" x14ac:dyDescent="0.3">
      <c r="B827" t="str">
        <f t="shared" si="24"/>
        <v>T5o</v>
      </c>
      <c r="C827" t="str">
        <f t="shared" si="25"/>
        <v>TD 5C</v>
      </c>
      <c r="D827" t="s">
        <v>34</v>
      </c>
      <c r="E827" t="s">
        <v>53</v>
      </c>
      <c r="F827">
        <v>16795671</v>
      </c>
      <c r="G827">
        <v>557831</v>
      </c>
    </row>
    <row r="828" spans="2:7" x14ac:dyDescent="0.3">
      <c r="B828" t="str">
        <f t="shared" si="24"/>
        <v>T5o</v>
      </c>
      <c r="C828" t="str">
        <f t="shared" si="25"/>
        <v>TD 5H</v>
      </c>
      <c r="D828" t="s">
        <v>34</v>
      </c>
      <c r="E828" t="s">
        <v>55</v>
      </c>
      <c r="F828">
        <v>16795671</v>
      </c>
      <c r="G828">
        <v>533255</v>
      </c>
    </row>
    <row r="829" spans="2:7" x14ac:dyDescent="0.3">
      <c r="B829" t="str">
        <f t="shared" si="24"/>
        <v>T5o</v>
      </c>
      <c r="C829" t="str">
        <f t="shared" si="25"/>
        <v>TD 5S</v>
      </c>
      <c r="D829" t="s">
        <v>34</v>
      </c>
      <c r="E829" t="s">
        <v>56</v>
      </c>
      <c r="F829">
        <v>16795671</v>
      </c>
      <c r="G829">
        <v>529159</v>
      </c>
    </row>
    <row r="830" spans="2:7" x14ac:dyDescent="0.3">
      <c r="B830" t="str">
        <f t="shared" si="24"/>
        <v>T5o</v>
      </c>
      <c r="C830" t="str">
        <f t="shared" si="25"/>
        <v>TH 5C</v>
      </c>
      <c r="D830" t="s">
        <v>35</v>
      </c>
      <c r="E830" t="s">
        <v>53</v>
      </c>
      <c r="F830">
        <v>16787479</v>
      </c>
      <c r="G830">
        <v>557831</v>
      </c>
    </row>
    <row r="831" spans="2:7" x14ac:dyDescent="0.3">
      <c r="B831" t="str">
        <f t="shared" si="24"/>
        <v>T5o</v>
      </c>
      <c r="C831" t="str">
        <f t="shared" si="25"/>
        <v>TH 5D</v>
      </c>
      <c r="D831" t="s">
        <v>35</v>
      </c>
      <c r="E831" t="s">
        <v>54</v>
      </c>
      <c r="F831">
        <v>16787479</v>
      </c>
      <c r="G831">
        <v>541447</v>
      </c>
    </row>
    <row r="832" spans="2:7" x14ac:dyDescent="0.3">
      <c r="B832" t="str">
        <f t="shared" si="24"/>
        <v>T5o</v>
      </c>
      <c r="C832" t="str">
        <f t="shared" si="25"/>
        <v>TH 5S</v>
      </c>
      <c r="D832" t="s">
        <v>35</v>
      </c>
      <c r="E832" t="s">
        <v>56</v>
      </c>
      <c r="F832">
        <v>16787479</v>
      </c>
      <c r="G832">
        <v>529159</v>
      </c>
    </row>
    <row r="833" spans="2:7" x14ac:dyDescent="0.3">
      <c r="B833" t="str">
        <f t="shared" si="24"/>
        <v>T5o</v>
      </c>
      <c r="C833" t="str">
        <f t="shared" si="25"/>
        <v>TS 5C</v>
      </c>
      <c r="D833" t="s">
        <v>36</v>
      </c>
      <c r="E833" t="s">
        <v>53</v>
      </c>
      <c r="F833">
        <v>16783383</v>
      </c>
      <c r="G833">
        <v>557831</v>
      </c>
    </row>
    <row r="834" spans="2:7" x14ac:dyDescent="0.3">
      <c r="B834" t="str">
        <f t="shared" si="24"/>
        <v>T5o</v>
      </c>
      <c r="C834" t="str">
        <f t="shared" si="25"/>
        <v>TS 5D</v>
      </c>
      <c r="D834" t="s">
        <v>36</v>
      </c>
      <c r="E834" t="s">
        <v>54</v>
      </c>
      <c r="F834">
        <v>16783383</v>
      </c>
      <c r="G834">
        <v>541447</v>
      </c>
    </row>
    <row r="835" spans="2:7" x14ac:dyDescent="0.3">
      <c r="B835" t="str">
        <f t="shared" ref="B835:B898" si="26">LEFT(D835,1)&amp;LEFT(E835,1)&amp;IF(LEFT(D835,1)=LEFT(E835,1), "", IF(RIGHT(D835,1)=RIGHT(E835,1), "s", "o"))</f>
        <v>T5o</v>
      </c>
      <c r="C835" t="str">
        <f t="shared" ref="C835:C898" si="27">UPPER(D835&amp;" "&amp;E835)</f>
        <v>TS 5H</v>
      </c>
      <c r="D835" t="s">
        <v>36</v>
      </c>
      <c r="E835" t="s">
        <v>55</v>
      </c>
      <c r="F835">
        <v>16783383</v>
      </c>
      <c r="G835">
        <v>533255</v>
      </c>
    </row>
    <row r="836" spans="2:7" x14ac:dyDescent="0.3">
      <c r="B836" t="str">
        <f t="shared" si="26"/>
        <v>95o</v>
      </c>
      <c r="C836" t="str">
        <f t="shared" si="27"/>
        <v>9C 5D</v>
      </c>
      <c r="D836" t="s">
        <v>37</v>
      </c>
      <c r="E836" t="s">
        <v>54</v>
      </c>
      <c r="F836">
        <v>8423187</v>
      </c>
      <c r="G836">
        <v>541447</v>
      </c>
    </row>
    <row r="837" spans="2:7" x14ac:dyDescent="0.3">
      <c r="B837" t="str">
        <f t="shared" si="26"/>
        <v>95o</v>
      </c>
      <c r="C837" t="str">
        <f t="shared" si="27"/>
        <v>9C 5H</v>
      </c>
      <c r="D837" t="s">
        <v>37</v>
      </c>
      <c r="E837" t="s">
        <v>55</v>
      </c>
      <c r="F837">
        <v>8423187</v>
      </c>
      <c r="G837">
        <v>533255</v>
      </c>
    </row>
    <row r="838" spans="2:7" x14ac:dyDescent="0.3">
      <c r="B838" t="str">
        <f t="shared" si="26"/>
        <v>95o</v>
      </c>
      <c r="C838" t="str">
        <f t="shared" si="27"/>
        <v>9C 5S</v>
      </c>
      <c r="D838" t="s">
        <v>37</v>
      </c>
      <c r="E838" t="s">
        <v>56</v>
      </c>
      <c r="F838">
        <v>8423187</v>
      </c>
      <c r="G838">
        <v>529159</v>
      </c>
    </row>
    <row r="839" spans="2:7" x14ac:dyDescent="0.3">
      <c r="B839" t="str">
        <f t="shared" si="26"/>
        <v>95o</v>
      </c>
      <c r="C839" t="str">
        <f t="shared" si="27"/>
        <v>9D 5C</v>
      </c>
      <c r="D839" t="s">
        <v>38</v>
      </c>
      <c r="E839" t="s">
        <v>53</v>
      </c>
      <c r="F839">
        <v>8406803</v>
      </c>
      <c r="G839">
        <v>557831</v>
      </c>
    </row>
    <row r="840" spans="2:7" x14ac:dyDescent="0.3">
      <c r="B840" t="str">
        <f t="shared" si="26"/>
        <v>95o</v>
      </c>
      <c r="C840" t="str">
        <f t="shared" si="27"/>
        <v>9D 5H</v>
      </c>
      <c r="D840" t="s">
        <v>38</v>
      </c>
      <c r="E840" t="s">
        <v>55</v>
      </c>
      <c r="F840">
        <v>8406803</v>
      </c>
      <c r="G840">
        <v>533255</v>
      </c>
    </row>
    <row r="841" spans="2:7" x14ac:dyDescent="0.3">
      <c r="B841" t="str">
        <f t="shared" si="26"/>
        <v>95o</v>
      </c>
      <c r="C841" t="str">
        <f t="shared" si="27"/>
        <v>9D 5S</v>
      </c>
      <c r="D841" t="s">
        <v>38</v>
      </c>
      <c r="E841" t="s">
        <v>56</v>
      </c>
      <c r="F841">
        <v>8406803</v>
      </c>
      <c r="G841">
        <v>529159</v>
      </c>
    </row>
    <row r="842" spans="2:7" x14ac:dyDescent="0.3">
      <c r="B842" t="str">
        <f t="shared" si="26"/>
        <v>95o</v>
      </c>
      <c r="C842" t="str">
        <f t="shared" si="27"/>
        <v>9H 5C</v>
      </c>
      <c r="D842" t="s">
        <v>39</v>
      </c>
      <c r="E842" t="s">
        <v>53</v>
      </c>
      <c r="F842">
        <v>8398611</v>
      </c>
      <c r="G842">
        <v>557831</v>
      </c>
    </row>
    <row r="843" spans="2:7" x14ac:dyDescent="0.3">
      <c r="B843" t="str">
        <f t="shared" si="26"/>
        <v>95o</v>
      </c>
      <c r="C843" t="str">
        <f t="shared" si="27"/>
        <v>9H 5D</v>
      </c>
      <c r="D843" t="s">
        <v>39</v>
      </c>
      <c r="E843" t="s">
        <v>54</v>
      </c>
      <c r="F843">
        <v>8398611</v>
      </c>
      <c r="G843">
        <v>541447</v>
      </c>
    </row>
    <row r="844" spans="2:7" x14ac:dyDescent="0.3">
      <c r="B844" t="str">
        <f t="shared" si="26"/>
        <v>95o</v>
      </c>
      <c r="C844" t="str">
        <f t="shared" si="27"/>
        <v>9H 5S</v>
      </c>
      <c r="D844" t="s">
        <v>39</v>
      </c>
      <c r="E844" t="s">
        <v>56</v>
      </c>
      <c r="F844">
        <v>8398611</v>
      </c>
      <c r="G844">
        <v>529159</v>
      </c>
    </row>
    <row r="845" spans="2:7" x14ac:dyDescent="0.3">
      <c r="B845" t="str">
        <f t="shared" si="26"/>
        <v>95o</v>
      </c>
      <c r="C845" t="str">
        <f t="shared" si="27"/>
        <v>9S 5C</v>
      </c>
      <c r="D845" t="s">
        <v>40</v>
      </c>
      <c r="E845" t="s">
        <v>53</v>
      </c>
      <c r="F845">
        <v>8394515</v>
      </c>
      <c r="G845">
        <v>557831</v>
      </c>
    </row>
    <row r="846" spans="2:7" x14ac:dyDescent="0.3">
      <c r="B846" t="str">
        <f t="shared" si="26"/>
        <v>95o</v>
      </c>
      <c r="C846" t="str">
        <f t="shared" si="27"/>
        <v>9S 5D</v>
      </c>
      <c r="D846" t="s">
        <v>40</v>
      </c>
      <c r="E846" t="s">
        <v>54</v>
      </c>
      <c r="F846">
        <v>8394515</v>
      </c>
      <c r="G846">
        <v>541447</v>
      </c>
    </row>
    <row r="847" spans="2:7" x14ac:dyDescent="0.3">
      <c r="B847" t="str">
        <f t="shared" si="26"/>
        <v>95o</v>
      </c>
      <c r="C847" t="str">
        <f t="shared" si="27"/>
        <v>9S 5H</v>
      </c>
      <c r="D847" t="s">
        <v>40</v>
      </c>
      <c r="E847" t="s">
        <v>55</v>
      </c>
      <c r="F847">
        <v>8394515</v>
      </c>
      <c r="G847">
        <v>533255</v>
      </c>
    </row>
    <row r="848" spans="2:7" x14ac:dyDescent="0.3">
      <c r="B848" t="str">
        <f t="shared" si="26"/>
        <v>85o</v>
      </c>
      <c r="C848" t="str">
        <f t="shared" si="27"/>
        <v>8C 5D</v>
      </c>
      <c r="D848" t="s">
        <v>41</v>
      </c>
      <c r="E848" t="s">
        <v>54</v>
      </c>
      <c r="F848">
        <v>4228625</v>
      </c>
      <c r="G848">
        <v>541447</v>
      </c>
    </row>
    <row r="849" spans="2:7" x14ac:dyDescent="0.3">
      <c r="B849" t="str">
        <f t="shared" si="26"/>
        <v>85o</v>
      </c>
      <c r="C849" t="str">
        <f t="shared" si="27"/>
        <v>8C 5H</v>
      </c>
      <c r="D849" t="s">
        <v>41</v>
      </c>
      <c r="E849" t="s">
        <v>55</v>
      </c>
      <c r="F849">
        <v>4228625</v>
      </c>
      <c r="G849">
        <v>533255</v>
      </c>
    </row>
    <row r="850" spans="2:7" x14ac:dyDescent="0.3">
      <c r="B850" t="str">
        <f t="shared" si="26"/>
        <v>85o</v>
      </c>
      <c r="C850" t="str">
        <f t="shared" si="27"/>
        <v>8C 5S</v>
      </c>
      <c r="D850" t="s">
        <v>41</v>
      </c>
      <c r="E850" t="s">
        <v>56</v>
      </c>
      <c r="F850">
        <v>4228625</v>
      </c>
      <c r="G850">
        <v>529159</v>
      </c>
    </row>
    <row r="851" spans="2:7" x14ac:dyDescent="0.3">
      <c r="B851" t="str">
        <f t="shared" si="26"/>
        <v>85o</v>
      </c>
      <c r="C851" t="str">
        <f t="shared" si="27"/>
        <v>8D 5C</v>
      </c>
      <c r="D851" t="s">
        <v>42</v>
      </c>
      <c r="E851" t="s">
        <v>53</v>
      </c>
      <c r="F851">
        <v>4212241</v>
      </c>
      <c r="G851">
        <v>557831</v>
      </c>
    </row>
    <row r="852" spans="2:7" x14ac:dyDescent="0.3">
      <c r="B852" t="str">
        <f t="shared" si="26"/>
        <v>85o</v>
      </c>
      <c r="C852" t="str">
        <f t="shared" si="27"/>
        <v>8D 5H</v>
      </c>
      <c r="D852" t="s">
        <v>42</v>
      </c>
      <c r="E852" t="s">
        <v>55</v>
      </c>
      <c r="F852">
        <v>4212241</v>
      </c>
      <c r="G852">
        <v>533255</v>
      </c>
    </row>
    <row r="853" spans="2:7" x14ac:dyDescent="0.3">
      <c r="B853" t="str">
        <f t="shared" si="26"/>
        <v>85o</v>
      </c>
      <c r="C853" t="str">
        <f t="shared" si="27"/>
        <v>8D 5S</v>
      </c>
      <c r="D853" t="s">
        <v>42</v>
      </c>
      <c r="E853" t="s">
        <v>56</v>
      </c>
      <c r="F853">
        <v>4212241</v>
      </c>
      <c r="G853">
        <v>529159</v>
      </c>
    </row>
    <row r="854" spans="2:7" x14ac:dyDescent="0.3">
      <c r="B854" t="str">
        <f t="shared" si="26"/>
        <v>85o</v>
      </c>
      <c r="C854" t="str">
        <f t="shared" si="27"/>
        <v>8H 5C</v>
      </c>
      <c r="D854" t="s">
        <v>43</v>
      </c>
      <c r="E854" t="s">
        <v>53</v>
      </c>
      <c r="F854">
        <v>4204049</v>
      </c>
      <c r="G854">
        <v>557831</v>
      </c>
    </row>
    <row r="855" spans="2:7" x14ac:dyDescent="0.3">
      <c r="B855" t="str">
        <f t="shared" si="26"/>
        <v>85o</v>
      </c>
      <c r="C855" t="str">
        <f t="shared" si="27"/>
        <v>8H 5D</v>
      </c>
      <c r="D855" t="s">
        <v>43</v>
      </c>
      <c r="E855" t="s">
        <v>54</v>
      </c>
      <c r="F855">
        <v>4204049</v>
      </c>
      <c r="G855">
        <v>541447</v>
      </c>
    </row>
    <row r="856" spans="2:7" x14ac:dyDescent="0.3">
      <c r="B856" t="str">
        <f t="shared" si="26"/>
        <v>85o</v>
      </c>
      <c r="C856" t="str">
        <f t="shared" si="27"/>
        <v>8H 5S</v>
      </c>
      <c r="D856" t="s">
        <v>43</v>
      </c>
      <c r="E856" t="s">
        <v>56</v>
      </c>
      <c r="F856">
        <v>4204049</v>
      </c>
      <c r="G856">
        <v>529159</v>
      </c>
    </row>
    <row r="857" spans="2:7" x14ac:dyDescent="0.3">
      <c r="B857" t="str">
        <f t="shared" si="26"/>
        <v>85o</v>
      </c>
      <c r="C857" t="str">
        <f t="shared" si="27"/>
        <v>8S 5C</v>
      </c>
      <c r="D857" t="s">
        <v>44</v>
      </c>
      <c r="E857" t="s">
        <v>53</v>
      </c>
      <c r="F857">
        <v>4199953</v>
      </c>
      <c r="G857">
        <v>557831</v>
      </c>
    </row>
    <row r="858" spans="2:7" x14ac:dyDescent="0.3">
      <c r="B858" t="str">
        <f t="shared" si="26"/>
        <v>85o</v>
      </c>
      <c r="C858" t="str">
        <f t="shared" si="27"/>
        <v>8S 5D</v>
      </c>
      <c r="D858" t="s">
        <v>44</v>
      </c>
      <c r="E858" t="s">
        <v>54</v>
      </c>
      <c r="F858">
        <v>4199953</v>
      </c>
      <c r="G858">
        <v>541447</v>
      </c>
    </row>
    <row r="859" spans="2:7" x14ac:dyDescent="0.3">
      <c r="B859" t="str">
        <f t="shared" si="26"/>
        <v>85o</v>
      </c>
      <c r="C859" t="str">
        <f t="shared" si="27"/>
        <v>8S 5H</v>
      </c>
      <c r="D859" t="s">
        <v>44</v>
      </c>
      <c r="E859" t="s">
        <v>55</v>
      </c>
      <c r="F859">
        <v>4199953</v>
      </c>
      <c r="G859">
        <v>533255</v>
      </c>
    </row>
    <row r="860" spans="2:7" x14ac:dyDescent="0.3">
      <c r="B860" t="str">
        <f t="shared" si="26"/>
        <v>75o</v>
      </c>
      <c r="C860" t="str">
        <f t="shared" si="27"/>
        <v>7C 5D</v>
      </c>
      <c r="D860" t="s">
        <v>45</v>
      </c>
      <c r="E860" t="s">
        <v>54</v>
      </c>
      <c r="F860">
        <v>2131213</v>
      </c>
      <c r="G860">
        <v>541447</v>
      </c>
    </row>
    <row r="861" spans="2:7" x14ac:dyDescent="0.3">
      <c r="B861" t="str">
        <f t="shared" si="26"/>
        <v>75o</v>
      </c>
      <c r="C861" t="str">
        <f t="shared" si="27"/>
        <v>7C 5H</v>
      </c>
      <c r="D861" t="s">
        <v>45</v>
      </c>
      <c r="E861" t="s">
        <v>55</v>
      </c>
      <c r="F861">
        <v>2131213</v>
      </c>
      <c r="G861">
        <v>533255</v>
      </c>
    </row>
    <row r="862" spans="2:7" x14ac:dyDescent="0.3">
      <c r="B862" t="str">
        <f t="shared" si="26"/>
        <v>75o</v>
      </c>
      <c r="C862" t="str">
        <f t="shared" si="27"/>
        <v>7C 5S</v>
      </c>
      <c r="D862" t="s">
        <v>45</v>
      </c>
      <c r="E862" t="s">
        <v>56</v>
      </c>
      <c r="F862">
        <v>2131213</v>
      </c>
      <c r="G862">
        <v>529159</v>
      </c>
    </row>
    <row r="863" spans="2:7" x14ac:dyDescent="0.3">
      <c r="B863" t="str">
        <f t="shared" si="26"/>
        <v>75o</v>
      </c>
      <c r="C863" t="str">
        <f t="shared" si="27"/>
        <v>7D 5C</v>
      </c>
      <c r="D863" t="s">
        <v>46</v>
      </c>
      <c r="E863" t="s">
        <v>53</v>
      </c>
      <c r="F863">
        <v>2114829</v>
      </c>
      <c r="G863">
        <v>557831</v>
      </c>
    </row>
    <row r="864" spans="2:7" x14ac:dyDescent="0.3">
      <c r="B864" t="str">
        <f t="shared" si="26"/>
        <v>75o</v>
      </c>
      <c r="C864" t="str">
        <f t="shared" si="27"/>
        <v>7D 5H</v>
      </c>
      <c r="D864" t="s">
        <v>46</v>
      </c>
      <c r="E864" t="s">
        <v>55</v>
      </c>
      <c r="F864">
        <v>2114829</v>
      </c>
      <c r="G864">
        <v>533255</v>
      </c>
    </row>
    <row r="865" spans="2:7" x14ac:dyDescent="0.3">
      <c r="B865" t="str">
        <f t="shared" si="26"/>
        <v>75o</v>
      </c>
      <c r="C865" t="str">
        <f t="shared" si="27"/>
        <v>7D 5S</v>
      </c>
      <c r="D865" t="s">
        <v>46</v>
      </c>
      <c r="E865" t="s">
        <v>56</v>
      </c>
      <c r="F865">
        <v>2114829</v>
      </c>
      <c r="G865">
        <v>529159</v>
      </c>
    </row>
    <row r="866" spans="2:7" x14ac:dyDescent="0.3">
      <c r="B866" t="str">
        <f t="shared" si="26"/>
        <v>75o</v>
      </c>
      <c r="C866" t="str">
        <f t="shared" si="27"/>
        <v>7H 5C</v>
      </c>
      <c r="D866" t="s">
        <v>47</v>
      </c>
      <c r="E866" t="s">
        <v>53</v>
      </c>
      <c r="F866">
        <v>2106637</v>
      </c>
      <c r="G866">
        <v>557831</v>
      </c>
    </row>
    <row r="867" spans="2:7" x14ac:dyDescent="0.3">
      <c r="B867" t="str">
        <f t="shared" si="26"/>
        <v>75o</v>
      </c>
      <c r="C867" t="str">
        <f t="shared" si="27"/>
        <v>7H 5D</v>
      </c>
      <c r="D867" t="s">
        <v>47</v>
      </c>
      <c r="E867" t="s">
        <v>54</v>
      </c>
      <c r="F867">
        <v>2106637</v>
      </c>
      <c r="G867">
        <v>541447</v>
      </c>
    </row>
    <row r="868" spans="2:7" x14ac:dyDescent="0.3">
      <c r="B868" t="str">
        <f t="shared" si="26"/>
        <v>75o</v>
      </c>
      <c r="C868" t="str">
        <f t="shared" si="27"/>
        <v>7H 5S</v>
      </c>
      <c r="D868" t="s">
        <v>47</v>
      </c>
      <c r="E868" t="s">
        <v>56</v>
      </c>
      <c r="F868">
        <v>2106637</v>
      </c>
      <c r="G868">
        <v>529159</v>
      </c>
    </row>
    <row r="869" spans="2:7" x14ac:dyDescent="0.3">
      <c r="B869" t="str">
        <f t="shared" si="26"/>
        <v>75o</v>
      </c>
      <c r="C869" t="str">
        <f t="shared" si="27"/>
        <v>7S 5C</v>
      </c>
      <c r="D869" t="s">
        <v>48</v>
      </c>
      <c r="E869" t="s">
        <v>53</v>
      </c>
      <c r="F869">
        <v>2102541</v>
      </c>
      <c r="G869">
        <v>557831</v>
      </c>
    </row>
    <row r="870" spans="2:7" x14ac:dyDescent="0.3">
      <c r="B870" t="str">
        <f t="shared" si="26"/>
        <v>75o</v>
      </c>
      <c r="C870" t="str">
        <f t="shared" si="27"/>
        <v>7S 5D</v>
      </c>
      <c r="D870" t="s">
        <v>48</v>
      </c>
      <c r="E870" t="s">
        <v>54</v>
      </c>
      <c r="F870">
        <v>2102541</v>
      </c>
      <c r="G870">
        <v>541447</v>
      </c>
    </row>
    <row r="871" spans="2:7" x14ac:dyDescent="0.3">
      <c r="B871" t="str">
        <f t="shared" si="26"/>
        <v>75o</v>
      </c>
      <c r="C871" t="str">
        <f t="shared" si="27"/>
        <v>7S 5H</v>
      </c>
      <c r="D871" t="s">
        <v>48</v>
      </c>
      <c r="E871" t="s">
        <v>55</v>
      </c>
      <c r="F871">
        <v>2102541</v>
      </c>
      <c r="G871">
        <v>533255</v>
      </c>
    </row>
    <row r="872" spans="2:7" x14ac:dyDescent="0.3">
      <c r="B872" t="str">
        <f t="shared" si="26"/>
        <v>65o</v>
      </c>
      <c r="C872" t="str">
        <f t="shared" si="27"/>
        <v>6C 5D</v>
      </c>
      <c r="D872" t="s">
        <v>49</v>
      </c>
      <c r="E872" t="s">
        <v>54</v>
      </c>
      <c r="F872">
        <v>1082379</v>
      </c>
      <c r="G872">
        <v>541447</v>
      </c>
    </row>
    <row r="873" spans="2:7" x14ac:dyDescent="0.3">
      <c r="B873" t="str">
        <f t="shared" si="26"/>
        <v>65o</v>
      </c>
      <c r="C873" t="str">
        <f t="shared" si="27"/>
        <v>6C 5H</v>
      </c>
      <c r="D873" t="s">
        <v>49</v>
      </c>
      <c r="E873" t="s">
        <v>55</v>
      </c>
      <c r="F873">
        <v>1082379</v>
      </c>
      <c r="G873">
        <v>533255</v>
      </c>
    </row>
    <row r="874" spans="2:7" x14ac:dyDescent="0.3">
      <c r="B874" t="str">
        <f t="shared" si="26"/>
        <v>65o</v>
      </c>
      <c r="C874" t="str">
        <f t="shared" si="27"/>
        <v>6C 5S</v>
      </c>
      <c r="D874" t="s">
        <v>49</v>
      </c>
      <c r="E874" t="s">
        <v>56</v>
      </c>
      <c r="F874">
        <v>1082379</v>
      </c>
      <c r="G874">
        <v>529159</v>
      </c>
    </row>
    <row r="875" spans="2:7" x14ac:dyDescent="0.3">
      <c r="B875" t="str">
        <f t="shared" si="26"/>
        <v>65o</v>
      </c>
      <c r="C875" t="str">
        <f t="shared" si="27"/>
        <v>6D 5C</v>
      </c>
      <c r="D875" t="s">
        <v>50</v>
      </c>
      <c r="E875" t="s">
        <v>53</v>
      </c>
      <c r="F875">
        <v>1065995</v>
      </c>
      <c r="G875">
        <v>557831</v>
      </c>
    </row>
    <row r="876" spans="2:7" x14ac:dyDescent="0.3">
      <c r="B876" t="str">
        <f t="shared" si="26"/>
        <v>65o</v>
      </c>
      <c r="C876" t="str">
        <f t="shared" si="27"/>
        <v>6D 5H</v>
      </c>
      <c r="D876" t="s">
        <v>50</v>
      </c>
      <c r="E876" t="s">
        <v>55</v>
      </c>
      <c r="F876">
        <v>1065995</v>
      </c>
      <c r="G876">
        <v>533255</v>
      </c>
    </row>
    <row r="877" spans="2:7" x14ac:dyDescent="0.3">
      <c r="B877" t="str">
        <f t="shared" si="26"/>
        <v>65o</v>
      </c>
      <c r="C877" t="str">
        <f t="shared" si="27"/>
        <v>6D 5S</v>
      </c>
      <c r="D877" t="s">
        <v>50</v>
      </c>
      <c r="E877" t="s">
        <v>56</v>
      </c>
      <c r="F877">
        <v>1065995</v>
      </c>
      <c r="G877">
        <v>529159</v>
      </c>
    </row>
    <row r="878" spans="2:7" x14ac:dyDescent="0.3">
      <c r="B878" t="str">
        <f t="shared" si="26"/>
        <v>65o</v>
      </c>
      <c r="C878" t="str">
        <f t="shared" si="27"/>
        <v>6H 5C</v>
      </c>
      <c r="D878" t="s">
        <v>51</v>
      </c>
      <c r="E878" t="s">
        <v>53</v>
      </c>
      <c r="F878">
        <v>1057803</v>
      </c>
      <c r="G878">
        <v>557831</v>
      </c>
    </row>
    <row r="879" spans="2:7" x14ac:dyDescent="0.3">
      <c r="B879" t="str">
        <f t="shared" si="26"/>
        <v>65o</v>
      </c>
      <c r="C879" t="str">
        <f t="shared" si="27"/>
        <v>6H 5D</v>
      </c>
      <c r="D879" t="s">
        <v>51</v>
      </c>
      <c r="E879" t="s">
        <v>54</v>
      </c>
      <c r="F879">
        <v>1057803</v>
      </c>
      <c r="G879">
        <v>541447</v>
      </c>
    </row>
    <row r="880" spans="2:7" x14ac:dyDescent="0.3">
      <c r="B880" t="str">
        <f t="shared" si="26"/>
        <v>65o</v>
      </c>
      <c r="C880" t="str">
        <f t="shared" si="27"/>
        <v>6H 5S</v>
      </c>
      <c r="D880" t="s">
        <v>51</v>
      </c>
      <c r="E880" t="s">
        <v>56</v>
      </c>
      <c r="F880">
        <v>1057803</v>
      </c>
      <c r="G880">
        <v>529159</v>
      </c>
    </row>
    <row r="881" spans="2:7" x14ac:dyDescent="0.3">
      <c r="B881" t="str">
        <f t="shared" si="26"/>
        <v>65o</v>
      </c>
      <c r="C881" t="str">
        <f t="shared" si="27"/>
        <v>6S 5C</v>
      </c>
      <c r="D881" t="s">
        <v>52</v>
      </c>
      <c r="E881" t="s">
        <v>53</v>
      </c>
      <c r="F881">
        <v>1053707</v>
      </c>
      <c r="G881">
        <v>557831</v>
      </c>
    </row>
    <row r="882" spans="2:7" x14ac:dyDescent="0.3">
      <c r="B882" t="str">
        <f t="shared" si="26"/>
        <v>65o</v>
      </c>
      <c r="C882" t="str">
        <f t="shared" si="27"/>
        <v>6S 5D</v>
      </c>
      <c r="D882" t="s">
        <v>52</v>
      </c>
      <c r="E882" t="s">
        <v>54</v>
      </c>
      <c r="F882">
        <v>1053707</v>
      </c>
      <c r="G882">
        <v>541447</v>
      </c>
    </row>
    <row r="883" spans="2:7" x14ac:dyDescent="0.3">
      <c r="B883" t="str">
        <f t="shared" si="26"/>
        <v>65o</v>
      </c>
      <c r="C883" t="str">
        <f t="shared" si="27"/>
        <v>6S 5H</v>
      </c>
      <c r="D883" t="s">
        <v>52</v>
      </c>
      <c r="E883" t="s">
        <v>55</v>
      </c>
      <c r="F883">
        <v>1053707</v>
      </c>
      <c r="G883">
        <v>533255</v>
      </c>
    </row>
    <row r="884" spans="2:7" x14ac:dyDescent="0.3">
      <c r="B884" t="str">
        <f t="shared" si="26"/>
        <v>55</v>
      </c>
      <c r="C884" t="str">
        <f t="shared" si="27"/>
        <v>5C 5D</v>
      </c>
      <c r="D884" t="s">
        <v>53</v>
      </c>
      <c r="E884" t="s">
        <v>54</v>
      </c>
      <c r="F884">
        <v>557831</v>
      </c>
      <c r="G884">
        <v>541447</v>
      </c>
    </row>
    <row r="885" spans="2:7" x14ac:dyDescent="0.3">
      <c r="B885" t="str">
        <f t="shared" si="26"/>
        <v>55</v>
      </c>
      <c r="C885" t="str">
        <f t="shared" si="27"/>
        <v>5C 5H</v>
      </c>
      <c r="D885" t="s">
        <v>53</v>
      </c>
      <c r="E885" t="s">
        <v>55</v>
      </c>
      <c r="F885">
        <v>557831</v>
      </c>
      <c r="G885">
        <v>533255</v>
      </c>
    </row>
    <row r="886" spans="2:7" x14ac:dyDescent="0.3">
      <c r="B886" t="str">
        <f t="shared" si="26"/>
        <v>55</v>
      </c>
      <c r="C886" t="str">
        <f t="shared" si="27"/>
        <v>5C 5S</v>
      </c>
      <c r="D886" t="s">
        <v>53</v>
      </c>
      <c r="E886" t="s">
        <v>56</v>
      </c>
      <c r="F886">
        <v>557831</v>
      </c>
      <c r="G886">
        <v>529159</v>
      </c>
    </row>
    <row r="887" spans="2:7" x14ac:dyDescent="0.3">
      <c r="B887" t="str">
        <f t="shared" si="26"/>
        <v>55</v>
      </c>
      <c r="C887" t="str">
        <f t="shared" si="27"/>
        <v>5D 5H</v>
      </c>
      <c r="D887" t="s">
        <v>54</v>
      </c>
      <c r="E887" t="s">
        <v>55</v>
      </c>
      <c r="F887">
        <v>541447</v>
      </c>
      <c r="G887">
        <v>533255</v>
      </c>
    </row>
    <row r="888" spans="2:7" x14ac:dyDescent="0.3">
      <c r="B888" t="str">
        <f t="shared" si="26"/>
        <v>55</v>
      </c>
      <c r="C888" t="str">
        <f t="shared" si="27"/>
        <v>5D 5S</v>
      </c>
      <c r="D888" t="s">
        <v>54</v>
      </c>
      <c r="E888" t="s">
        <v>56</v>
      </c>
      <c r="F888">
        <v>541447</v>
      </c>
      <c r="G888">
        <v>529159</v>
      </c>
    </row>
    <row r="889" spans="2:7" x14ac:dyDescent="0.3">
      <c r="B889" t="str">
        <f t="shared" si="26"/>
        <v>55</v>
      </c>
      <c r="C889" t="str">
        <f t="shared" si="27"/>
        <v>5H 5S</v>
      </c>
      <c r="D889" t="s">
        <v>55</v>
      </c>
      <c r="E889" t="s">
        <v>56</v>
      </c>
      <c r="F889">
        <v>533255</v>
      </c>
      <c r="G889">
        <v>529159</v>
      </c>
    </row>
    <row r="890" spans="2:7" x14ac:dyDescent="0.3">
      <c r="B890" t="str">
        <f t="shared" si="26"/>
        <v>54s</v>
      </c>
      <c r="C890" t="str">
        <f t="shared" si="27"/>
        <v>5C 4C</v>
      </c>
      <c r="D890" t="s">
        <v>53</v>
      </c>
      <c r="E890" t="s">
        <v>57</v>
      </c>
      <c r="F890">
        <v>557831</v>
      </c>
      <c r="G890">
        <v>295429</v>
      </c>
    </row>
    <row r="891" spans="2:7" x14ac:dyDescent="0.3">
      <c r="B891" t="str">
        <f t="shared" si="26"/>
        <v>54s</v>
      </c>
      <c r="C891" t="str">
        <f t="shared" si="27"/>
        <v>5D 4D</v>
      </c>
      <c r="D891" t="s">
        <v>54</v>
      </c>
      <c r="E891" t="s">
        <v>58</v>
      </c>
      <c r="F891">
        <v>541447</v>
      </c>
      <c r="G891">
        <v>279045</v>
      </c>
    </row>
    <row r="892" spans="2:7" x14ac:dyDescent="0.3">
      <c r="B892" t="str">
        <f t="shared" si="26"/>
        <v>54s</v>
      </c>
      <c r="C892" t="str">
        <f t="shared" si="27"/>
        <v>5H 4H</v>
      </c>
      <c r="D892" t="s">
        <v>55</v>
      </c>
      <c r="E892" t="s">
        <v>59</v>
      </c>
      <c r="F892">
        <v>533255</v>
      </c>
      <c r="G892">
        <v>270853</v>
      </c>
    </row>
    <row r="893" spans="2:7" x14ac:dyDescent="0.3">
      <c r="B893" t="str">
        <f t="shared" si="26"/>
        <v>54s</v>
      </c>
      <c r="C893" t="str">
        <f t="shared" si="27"/>
        <v>5S 4S</v>
      </c>
      <c r="D893" t="s">
        <v>56</v>
      </c>
      <c r="E893" t="s">
        <v>60</v>
      </c>
      <c r="F893">
        <v>529159</v>
      </c>
      <c r="G893">
        <v>266757</v>
      </c>
    </row>
    <row r="894" spans="2:7" x14ac:dyDescent="0.3">
      <c r="B894" t="str">
        <f t="shared" si="26"/>
        <v>53s</v>
      </c>
      <c r="C894" t="str">
        <f t="shared" si="27"/>
        <v>5C 3C</v>
      </c>
      <c r="D894" t="s">
        <v>53</v>
      </c>
      <c r="E894" t="s">
        <v>61</v>
      </c>
      <c r="F894">
        <v>557831</v>
      </c>
      <c r="G894">
        <v>164099</v>
      </c>
    </row>
    <row r="895" spans="2:7" x14ac:dyDescent="0.3">
      <c r="B895" t="str">
        <f t="shared" si="26"/>
        <v>53s</v>
      </c>
      <c r="C895" t="str">
        <f t="shared" si="27"/>
        <v>5D 3D</v>
      </c>
      <c r="D895" t="s">
        <v>54</v>
      </c>
      <c r="E895" t="s">
        <v>62</v>
      </c>
      <c r="F895">
        <v>541447</v>
      </c>
      <c r="G895">
        <v>147715</v>
      </c>
    </row>
    <row r="896" spans="2:7" x14ac:dyDescent="0.3">
      <c r="B896" t="str">
        <f t="shared" si="26"/>
        <v>53s</v>
      </c>
      <c r="C896" t="str">
        <f t="shared" si="27"/>
        <v>5H 3H</v>
      </c>
      <c r="D896" t="s">
        <v>55</v>
      </c>
      <c r="E896" t="s">
        <v>63</v>
      </c>
      <c r="F896">
        <v>533255</v>
      </c>
      <c r="G896">
        <v>139523</v>
      </c>
    </row>
    <row r="897" spans="2:7" x14ac:dyDescent="0.3">
      <c r="B897" t="str">
        <f t="shared" si="26"/>
        <v>53s</v>
      </c>
      <c r="C897" t="str">
        <f t="shared" si="27"/>
        <v>5S 3S</v>
      </c>
      <c r="D897" t="s">
        <v>56</v>
      </c>
      <c r="E897" t="s">
        <v>64</v>
      </c>
      <c r="F897">
        <v>529159</v>
      </c>
      <c r="G897">
        <v>135427</v>
      </c>
    </row>
    <row r="898" spans="2:7" x14ac:dyDescent="0.3">
      <c r="B898" t="str">
        <f t="shared" si="26"/>
        <v>52s</v>
      </c>
      <c r="C898" t="str">
        <f t="shared" si="27"/>
        <v>5C 2C</v>
      </c>
      <c r="D898" t="s">
        <v>53</v>
      </c>
      <c r="E898" t="s">
        <v>65</v>
      </c>
      <c r="F898">
        <v>557831</v>
      </c>
      <c r="G898">
        <v>98306</v>
      </c>
    </row>
    <row r="899" spans="2:7" x14ac:dyDescent="0.3">
      <c r="B899" t="str">
        <f t="shared" ref="B899:B962" si="28">LEFT(D899,1)&amp;LEFT(E899,1)&amp;IF(LEFT(D899,1)=LEFT(E899,1), "", IF(RIGHT(D899,1)=RIGHT(E899,1), "s", "o"))</f>
        <v>52s</v>
      </c>
      <c r="C899" t="str">
        <f t="shared" ref="C899:C962" si="29">UPPER(D899&amp;" "&amp;E899)</f>
        <v>5D 2D</v>
      </c>
      <c r="D899" t="s">
        <v>54</v>
      </c>
      <c r="E899" t="s">
        <v>66</v>
      </c>
      <c r="F899">
        <v>541447</v>
      </c>
      <c r="G899">
        <v>81922</v>
      </c>
    </row>
    <row r="900" spans="2:7" x14ac:dyDescent="0.3">
      <c r="B900" t="str">
        <f t="shared" si="28"/>
        <v>52s</v>
      </c>
      <c r="C900" t="str">
        <f t="shared" si="29"/>
        <v>5H 2H</v>
      </c>
      <c r="D900" t="s">
        <v>55</v>
      </c>
      <c r="E900" t="s">
        <v>67</v>
      </c>
      <c r="F900">
        <v>533255</v>
      </c>
      <c r="G900">
        <v>73730</v>
      </c>
    </row>
    <row r="901" spans="2:7" x14ac:dyDescent="0.3">
      <c r="B901" t="str">
        <f t="shared" si="28"/>
        <v>52s</v>
      </c>
      <c r="C901" t="str">
        <f t="shared" si="29"/>
        <v>5S 2S</v>
      </c>
      <c r="D901" t="s">
        <v>56</v>
      </c>
      <c r="E901" t="s">
        <v>68</v>
      </c>
      <c r="F901">
        <v>529159</v>
      </c>
      <c r="G901">
        <v>69634</v>
      </c>
    </row>
    <row r="902" spans="2:7" x14ac:dyDescent="0.3">
      <c r="B902" t="str">
        <f t="shared" si="28"/>
        <v>A4o</v>
      </c>
      <c r="C902" t="str">
        <f t="shared" si="29"/>
        <v>AC 4D</v>
      </c>
      <c r="D902" t="s">
        <v>17</v>
      </c>
      <c r="E902" t="s">
        <v>58</v>
      </c>
      <c r="F902">
        <v>268471337</v>
      </c>
      <c r="G902">
        <v>279045</v>
      </c>
    </row>
    <row r="903" spans="2:7" x14ac:dyDescent="0.3">
      <c r="B903" t="str">
        <f t="shared" si="28"/>
        <v>A4o</v>
      </c>
      <c r="C903" t="str">
        <f t="shared" si="29"/>
        <v>AC 4H</v>
      </c>
      <c r="D903" t="s">
        <v>17</v>
      </c>
      <c r="E903" t="s">
        <v>59</v>
      </c>
      <c r="F903">
        <v>268471337</v>
      </c>
      <c r="G903">
        <v>270853</v>
      </c>
    </row>
    <row r="904" spans="2:7" x14ac:dyDescent="0.3">
      <c r="B904" t="str">
        <f t="shared" si="28"/>
        <v>A4o</v>
      </c>
      <c r="C904" t="str">
        <f t="shared" si="29"/>
        <v>AC 4S</v>
      </c>
      <c r="D904" t="s">
        <v>17</v>
      </c>
      <c r="E904" t="s">
        <v>60</v>
      </c>
      <c r="F904">
        <v>268471337</v>
      </c>
      <c r="G904">
        <v>266757</v>
      </c>
    </row>
    <row r="905" spans="2:7" x14ac:dyDescent="0.3">
      <c r="B905" t="str">
        <f t="shared" si="28"/>
        <v>A4o</v>
      </c>
      <c r="C905" t="str">
        <f t="shared" si="29"/>
        <v>AD 4C</v>
      </c>
      <c r="D905" t="s">
        <v>18</v>
      </c>
      <c r="E905" t="s">
        <v>57</v>
      </c>
      <c r="F905">
        <v>268454953</v>
      </c>
      <c r="G905">
        <v>295429</v>
      </c>
    </row>
    <row r="906" spans="2:7" x14ac:dyDescent="0.3">
      <c r="B906" t="str">
        <f t="shared" si="28"/>
        <v>A4o</v>
      </c>
      <c r="C906" t="str">
        <f t="shared" si="29"/>
        <v>AD 4H</v>
      </c>
      <c r="D906" t="s">
        <v>18</v>
      </c>
      <c r="E906" t="s">
        <v>59</v>
      </c>
      <c r="F906">
        <v>268454953</v>
      </c>
      <c r="G906">
        <v>270853</v>
      </c>
    </row>
    <row r="907" spans="2:7" x14ac:dyDescent="0.3">
      <c r="B907" t="str">
        <f t="shared" si="28"/>
        <v>A4o</v>
      </c>
      <c r="C907" t="str">
        <f t="shared" si="29"/>
        <v>AD 4S</v>
      </c>
      <c r="D907" t="s">
        <v>18</v>
      </c>
      <c r="E907" t="s">
        <v>60</v>
      </c>
      <c r="F907">
        <v>268454953</v>
      </c>
      <c r="G907">
        <v>266757</v>
      </c>
    </row>
    <row r="908" spans="2:7" x14ac:dyDescent="0.3">
      <c r="B908" t="str">
        <f t="shared" si="28"/>
        <v>A4o</v>
      </c>
      <c r="C908" t="str">
        <f t="shared" si="29"/>
        <v>AH 4C</v>
      </c>
      <c r="D908" t="s">
        <v>19</v>
      </c>
      <c r="E908" t="s">
        <v>57</v>
      </c>
      <c r="F908">
        <v>268446761</v>
      </c>
      <c r="G908">
        <v>295429</v>
      </c>
    </row>
    <row r="909" spans="2:7" x14ac:dyDescent="0.3">
      <c r="B909" t="str">
        <f t="shared" si="28"/>
        <v>A4o</v>
      </c>
      <c r="C909" t="str">
        <f t="shared" si="29"/>
        <v>AH 4D</v>
      </c>
      <c r="D909" t="s">
        <v>19</v>
      </c>
      <c r="E909" t="s">
        <v>58</v>
      </c>
      <c r="F909">
        <v>268446761</v>
      </c>
      <c r="G909">
        <v>279045</v>
      </c>
    </row>
    <row r="910" spans="2:7" x14ac:dyDescent="0.3">
      <c r="B910" t="str">
        <f t="shared" si="28"/>
        <v>A4o</v>
      </c>
      <c r="C910" t="str">
        <f t="shared" si="29"/>
        <v>AH 4S</v>
      </c>
      <c r="D910" t="s">
        <v>19</v>
      </c>
      <c r="E910" t="s">
        <v>60</v>
      </c>
      <c r="F910">
        <v>268446761</v>
      </c>
      <c r="G910">
        <v>266757</v>
      </c>
    </row>
    <row r="911" spans="2:7" x14ac:dyDescent="0.3">
      <c r="B911" t="str">
        <f t="shared" si="28"/>
        <v>A4o</v>
      </c>
      <c r="C911" t="str">
        <f t="shared" si="29"/>
        <v>AS 4C</v>
      </c>
      <c r="D911" t="s">
        <v>20</v>
      </c>
      <c r="E911" t="s">
        <v>57</v>
      </c>
      <c r="F911">
        <v>268442665</v>
      </c>
      <c r="G911">
        <v>295429</v>
      </c>
    </row>
    <row r="912" spans="2:7" x14ac:dyDescent="0.3">
      <c r="B912" t="str">
        <f t="shared" si="28"/>
        <v>A4o</v>
      </c>
      <c r="C912" t="str">
        <f t="shared" si="29"/>
        <v>AS 4D</v>
      </c>
      <c r="D912" t="s">
        <v>20</v>
      </c>
      <c r="E912" t="s">
        <v>58</v>
      </c>
      <c r="F912">
        <v>268442665</v>
      </c>
      <c r="G912">
        <v>279045</v>
      </c>
    </row>
    <row r="913" spans="2:7" x14ac:dyDescent="0.3">
      <c r="B913" t="str">
        <f t="shared" si="28"/>
        <v>A4o</v>
      </c>
      <c r="C913" t="str">
        <f t="shared" si="29"/>
        <v>AS 4H</v>
      </c>
      <c r="D913" t="s">
        <v>20</v>
      </c>
      <c r="E913" t="s">
        <v>59</v>
      </c>
      <c r="F913">
        <v>268442665</v>
      </c>
      <c r="G913">
        <v>270853</v>
      </c>
    </row>
    <row r="914" spans="2:7" x14ac:dyDescent="0.3">
      <c r="B914" t="str">
        <f t="shared" si="28"/>
        <v>K4o</v>
      </c>
      <c r="C914" t="str">
        <f t="shared" si="29"/>
        <v>KC 4D</v>
      </c>
      <c r="D914" t="s">
        <v>21</v>
      </c>
      <c r="E914" t="s">
        <v>58</v>
      </c>
      <c r="F914">
        <v>134253349</v>
      </c>
      <c r="G914">
        <v>279045</v>
      </c>
    </row>
    <row r="915" spans="2:7" x14ac:dyDescent="0.3">
      <c r="B915" t="str">
        <f t="shared" si="28"/>
        <v>K4o</v>
      </c>
      <c r="C915" t="str">
        <f t="shared" si="29"/>
        <v>KC 4H</v>
      </c>
      <c r="D915" t="s">
        <v>21</v>
      </c>
      <c r="E915" t="s">
        <v>59</v>
      </c>
      <c r="F915">
        <v>134253349</v>
      </c>
      <c r="G915">
        <v>270853</v>
      </c>
    </row>
    <row r="916" spans="2:7" x14ac:dyDescent="0.3">
      <c r="B916" t="str">
        <f t="shared" si="28"/>
        <v>K4o</v>
      </c>
      <c r="C916" t="str">
        <f t="shared" si="29"/>
        <v>KC 4S</v>
      </c>
      <c r="D916" t="s">
        <v>21</v>
      </c>
      <c r="E916" t="s">
        <v>60</v>
      </c>
      <c r="F916">
        <v>134253349</v>
      </c>
      <c r="G916">
        <v>266757</v>
      </c>
    </row>
    <row r="917" spans="2:7" x14ac:dyDescent="0.3">
      <c r="B917" t="str">
        <f t="shared" si="28"/>
        <v>K4o</v>
      </c>
      <c r="C917" t="str">
        <f t="shared" si="29"/>
        <v>KD 4C</v>
      </c>
      <c r="D917" t="s">
        <v>22</v>
      </c>
      <c r="E917" t="s">
        <v>57</v>
      </c>
      <c r="F917">
        <v>134236965</v>
      </c>
      <c r="G917">
        <v>295429</v>
      </c>
    </row>
    <row r="918" spans="2:7" x14ac:dyDescent="0.3">
      <c r="B918" t="str">
        <f t="shared" si="28"/>
        <v>K4o</v>
      </c>
      <c r="C918" t="str">
        <f t="shared" si="29"/>
        <v>KD 4H</v>
      </c>
      <c r="D918" t="s">
        <v>22</v>
      </c>
      <c r="E918" t="s">
        <v>59</v>
      </c>
      <c r="F918">
        <v>134236965</v>
      </c>
      <c r="G918">
        <v>270853</v>
      </c>
    </row>
    <row r="919" spans="2:7" x14ac:dyDescent="0.3">
      <c r="B919" t="str">
        <f t="shared" si="28"/>
        <v>K4o</v>
      </c>
      <c r="C919" t="str">
        <f t="shared" si="29"/>
        <v>KD 4S</v>
      </c>
      <c r="D919" t="s">
        <v>22</v>
      </c>
      <c r="E919" t="s">
        <v>60</v>
      </c>
      <c r="F919">
        <v>134236965</v>
      </c>
      <c r="G919">
        <v>266757</v>
      </c>
    </row>
    <row r="920" spans="2:7" x14ac:dyDescent="0.3">
      <c r="B920" t="str">
        <f t="shared" si="28"/>
        <v>K4o</v>
      </c>
      <c r="C920" t="str">
        <f t="shared" si="29"/>
        <v>KH 4C</v>
      </c>
      <c r="D920" t="s">
        <v>23</v>
      </c>
      <c r="E920" t="s">
        <v>57</v>
      </c>
      <c r="F920">
        <v>134228773</v>
      </c>
      <c r="G920">
        <v>295429</v>
      </c>
    </row>
    <row r="921" spans="2:7" x14ac:dyDescent="0.3">
      <c r="B921" t="str">
        <f t="shared" si="28"/>
        <v>K4o</v>
      </c>
      <c r="C921" t="str">
        <f t="shared" si="29"/>
        <v>KH 4D</v>
      </c>
      <c r="D921" t="s">
        <v>23</v>
      </c>
      <c r="E921" t="s">
        <v>58</v>
      </c>
      <c r="F921">
        <v>134228773</v>
      </c>
      <c r="G921">
        <v>279045</v>
      </c>
    </row>
    <row r="922" spans="2:7" x14ac:dyDescent="0.3">
      <c r="B922" t="str">
        <f t="shared" si="28"/>
        <v>K4o</v>
      </c>
      <c r="C922" t="str">
        <f t="shared" si="29"/>
        <v>KH 4S</v>
      </c>
      <c r="D922" t="s">
        <v>23</v>
      </c>
      <c r="E922" t="s">
        <v>60</v>
      </c>
      <c r="F922">
        <v>134228773</v>
      </c>
      <c r="G922">
        <v>266757</v>
      </c>
    </row>
    <row r="923" spans="2:7" x14ac:dyDescent="0.3">
      <c r="B923" t="str">
        <f t="shared" si="28"/>
        <v>K4o</v>
      </c>
      <c r="C923" t="str">
        <f t="shared" si="29"/>
        <v>KS 4C</v>
      </c>
      <c r="D923" t="s">
        <v>24</v>
      </c>
      <c r="E923" t="s">
        <v>57</v>
      </c>
      <c r="F923">
        <v>134224677</v>
      </c>
      <c r="G923">
        <v>295429</v>
      </c>
    </row>
    <row r="924" spans="2:7" x14ac:dyDescent="0.3">
      <c r="B924" t="str">
        <f t="shared" si="28"/>
        <v>K4o</v>
      </c>
      <c r="C924" t="str">
        <f t="shared" si="29"/>
        <v>KS 4D</v>
      </c>
      <c r="D924" t="s">
        <v>24</v>
      </c>
      <c r="E924" t="s">
        <v>58</v>
      </c>
      <c r="F924">
        <v>134224677</v>
      </c>
      <c r="G924">
        <v>279045</v>
      </c>
    </row>
    <row r="925" spans="2:7" x14ac:dyDescent="0.3">
      <c r="B925" t="str">
        <f t="shared" si="28"/>
        <v>K4o</v>
      </c>
      <c r="C925" t="str">
        <f t="shared" si="29"/>
        <v>KS 4H</v>
      </c>
      <c r="D925" t="s">
        <v>24</v>
      </c>
      <c r="E925" t="s">
        <v>59</v>
      </c>
      <c r="F925">
        <v>134224677</v>
      </c>
      <c r="G925">
        <v>270853</v>
      </c>
    </row>
    <row r="926" spans="2:7" x14ac:dyDescent="0.3">
      <c r="B926" t="str">
        <f t="shared" si="28"/>
        <v>Q4o</v>
      </c>
      <c r="C926" t="str">
        <f t="shared" si="29"/>
        <v>QC 4D</v>
      </c>
      <c r="D926" t="s">
        <v>25</v>
      </c>
      <c r="E926" t="s">
        <v>58</v>
      </c>
      <c r="F926">
        <v>67144223</v>
      </c>
      <c r="G926">
        <v>279045</v>
      </c>
    </row>
    <row r="927" spans="2:7" x14ac:dyDescent="0.3">
      <c r="B927" t="str">
        <f t="shared" si="28"/>
        <v>Q4o</v>
      </c>
      <c r="C927" t="str">
        <f t="shared" si="29"/>
        <v>QC 4H</v>
      </c>
      <c r="D927" t="s">
        <v>25</v>
      </c>
      <c r="E927" t="s">
        <v>59</v>
      </c>
      <c r="F927">
        <v>67144223</v>
      </c>
      <c r="G927">
        <v>270853</v>
      </c>
    </row>
    <row r="928" spans="2:7" x14ac:dyDescent="0.3">
      <c r="B928" t="str">
        <f t="shared" si="28"/>
        <v>Q4o</v>
      </c>
      <c r="C928" t="str">
        <f t="shared" si="29"/>
        <v>QC 4S</v>
      </c>
      <c r="D928" t="s">
        <v>25</v>
      </c>
      <c r="E928" t="s">
        <v>60</v>
      </c>
      <c r="F928">
        <v>67144223</v>
      </c>
      <c r="G928">
        <v>266757</v>
      </c>
    </row>
    <row r="929" spans="2:7" x14ac:dyDescent="0.3">
      <c r="B929" t="str">
        <f t="shared" si="28"/>
        <v>Q4o</v>
      </c>
      <c r="C929" t="str">
        <f t="shared" si="29"/>
        <v>QD 4C</v>
      </c>
      <c r="D929" t="s">
        <v>26</v>
      </c>
      <c r="E929" t="s">
        <v>57</v>
      </c>
      <c r="F929">
        <v>67127839</v>
      </c>
      <c r="G929">
        <v>295429</v>
      </c>
    </row>
    <row r="930" spans="2:7" x14ac:dyDescent="0.3">
      <c r="B930" t="str">
        <f t="shared" si="28"/>
        <v>Q4o</v>
      </c>
      <c r="C930" t="str">
        <f t="shared" si="29"/>
        <v>QD 4H</v>
      </c>
      <c r="D930" t="s">
        <v>26</v>
      </c>
      <c r="E930" t="s">
        <v>59</v>
      </c>
      <c r="F930">
        <v>67127839</v>
      </c>
      <c r="G930">
        <v>270853</v>
      </c>
    </row>
    <row r="931" spans="2:7" x14ac:dyDescent="0.3">
      <c r="B931" t="str">
        <f t="shared" si="28"/>
        <v>Q4o</v>
      </c>
      <c r="C931" t="str">
        <f t="shared" si="29"/>
        <v>QD 4S</v>
      </c>
      <c r="D931" t="s">
        <v>26</v>
      </c>
      <c r="E931" t="s">
        <v>60</v>
      </c>
      <c r="F931">
        <v>67127839</v>
      </c>
      <c r="G931">
        <v>266757</v>
      </c>
    </row>
    <row r="932" spans="2:7" x14ac:dyDescent="0.3">
      <c r="B932" t="str">
        <f t="shared" si="28"/>
        <v>Q4o</v>
      </c>
      <c r="C932" t="str">
        <f t="shared" si="29"/>
        <v>QH 4C</v>
      </c>
      <c r="D932" t="s">
        <v>27</v>
      </c>
      <c r="E932" t="s">
        <v>57</v>
      </c>
      <c r="F932">
        <v>67119647</v>
      </c>
      <c r="G932">
        <v>295429</v>
      </c>
    </row>
    <row r="933" spans="2:7" x14ac:dyDescent="0.3">
      <c r="B933" t="str">
        <f t="shared" si="28"/>
        <v>Q4o</v>
      </c>
      <c r="C933" t="str">
        <f t="shared" si="29"/>
        <v>QH 4D</v>
      </c>
      <c r="D933" t="s">
        <v>27</v>
      </c>
      <c r="E933" t="s">
        <v>58</v>
      </c>
      <c r="F933">
        <v>67119647</v>
      </c>
      <c r="G933">
        <v>279045</v>
      </c>
    </row>
    <row r="934" spans="2:7" x14ac:dyDescent="0.3">
      <c r="B934" t="str">
        <f t="shared" si="28"/>
        <v>Q4o</v>
      </c>
      <c r="C934" t="str">
        <f t="shared" si="29"/>
        <v>QH 4S</v>
      </c>
      <c r="D934" t="s">
        <v>27</v>
      </c>
      <c r="E934" t="s">
        <v>60</v>
      </c>
      <c r="F934">
        <v>67119647</v>
      </c>
      <c r="G934">
        <v>266757</v>
      </c>
    </row>
    <row r="935" spans="2:7" x14ac:dyDescent="0.3">
      <c r="B935" t="str">
        <f t="shared" si="28"/>
        <v>Q4o</v>
      </c>
      <c r="C935" t="str">
        <f t="shared" si="29"/>
        <v>QS 4C</v>
      </c>
      <c r="D935" t="s">
        <v>28</v>
      </c>
      <c r="E935" t="s">
        <v>57</v>
      </c>
      <c r="F935">
        <v>67115551</v>
      </c>
      <c r="G935">
        <v>295429</v>
      </c>
    </row>
    <row r="936" spans="2:7" x14ac:dyDescent="0.3">
      <c r="B936" t="str">
        <f t="shared" si="28"/>
        <v>Q4o</v>
      </c>
      <c r="C936" t="str">
        <f t="shared" si="29"/>
        <v>QS 4D</v>
      </c>
      <c r="D936" t="s">
        <v>28</v>
      </c>
      <c r="E936" t="s">
        <v>58</v>
      </c>
      <c r="F936">
        <v>67115551</v>
      </c>
      <c r="G936">
        <v>279045</v>
      </c>
    </row>
    <row r="937" spans="2:7" x14ac:dyDescent="0.3">
      <c r="B937" t="str">
        <f t="shared" si="28"/>
        <v>Q4o</v>
      </c>
      <c r="C937" t="str">
        <f t="shared" si="29"/>
        <v>QS 4H</v>
      </c>
      <c r="D937" t="s">
        <v>28</v>
      </c>
      <c r="E937" t="s">
        <v>59</v>
      </c>
      <c r="F937">
        <v>67115551</v>
      </c>
      <c r="G937">
        <v>270853</v>
      </c>
    </row>
    <row r="938" spans="2:7" x14ac:dyDescent="0.3">
      <c r="B938" t="str">
        <f t="shared" si="28"/>
        <v>J4o</v>
      </c>
      <c r="C938" t="str">
        <f t="shared" si="29"/>
        <v>JC 4D</v>
      </c>
      <c r="D938" t="s">
        <v>29</v>
      </c>
      <c r="E938" t="s">
        <v>58</v>
      </c>
      <c r="F938">
        <v>33589533</v>
      </c>
      <c r="G938">
        <v>279045</v>
      </c>
    </row>
    <row r="939" spans="2:7" x14ac:dyDescent="0.3">
      <c r="B939" t="str">
        <f t="shared" si="28"/>
        <v>J4o</v>
      </c>
      <c r="C939" t="str">
        <f t="shared" si="29"/>
        <v>JC 4H</v>
      </c>
      <c r="D939" t="s">
        <v>29</v>
      </c>
      <c r="E939" t="s">
        <v>59</v>
      </c>
      <c r="F939">
        <v>33589533</v>
      </c>
      <c r="G939">
        <v>270853</v>
      </c>
    </row>
    <row r="940" spans="2:7" x14ac:dyDescent="0.3">
      <c r="B940" t="str">
        <f t="shared" si="28"/>
        <v>J4o</v>
      </c>
      <c r="C940" t="str">
        <f t="shared" si="29"/>
        <v>JC 4S</v>
      </c>
      <c r="D940" t="s">
        <v>29</v>
      </c>
      <c r="E940" t="s">
        <v>60</v>
      </c>
      <c r="F940">
        <v>33589533</v>
      </c>
      <c r="G940">
        <v>266757</v>
      </c>
    </row>
    <row r="941" spans="2:7" x14ac:dyDescent="0.3">
      <c r="B941" t="str">
        <f t="shared" si="28"/>
        <v>J4o</v>
      </c>
      <c r="C941" t="str">
        <f t="shared" si="29"/>
        <v>JD 4C</v>
      </c>
      <c r="D941" t="s">
        <v>30</v>
      </c>
      <c r="E941" t="s">
        <v>57</v>
      </c>
      <c r="F941">
        <v>33573149</v>
      </c>
      <c r="G941">
        <v>295429</v>
      </c>
    </row>
    <row r="942" spans="2:7" x14ac:dyDescent="0.3">
      <c r="B942" t="str">
        <f t="shared" si="28"/>
        <v>J4o</v>
      </c>
      <c r="C942" t="str">
        <f t="shared" si="29"/>
        <v>JD 4H</v>
      </c>
      <c r="D942" t="s">
        <v>30</v>
      </c>
      <c r="E942" t="s">
        <v>59</v>
      </c>
      <c r="F942">
        <v>33573149</v>
      </c>
      <c r="G942">
        <v>270853</v>
      </c>
    </row>
    <row r="943" spans="2:7" x14ac:dyDescent="0.3">
      <c r="B943" t="str">
        <f t="shared" si="28"/>
        <v>J4o</v>
      </c>
      <c r="C943" t="str">
        <f t="shared" si="29"/>
        <v>JD 4S</v>
      </c>
      <c r="D943" t="s">
        <v>30</v>
      </c>
      <c r="E943" t="s">
        <v>60</v>
      </c>
      <c r="F943">
        <v>33573149</v>
      </c>
      <c r="G943">
        <v>266757</v>
      </c>
    </row>
    <row r="944" spans="2:7" x14ac:dyDescent="0.3">
      <c r="B944" t="str">
        <f t="shared" si="28"/>
        <v>J4o</v>
      </c>
      <c r="C944" t="str">
        <f t="shared" si="29"/>
        <v>JH 4C</v>
      </c>
      <c r="D944" t="s">
        <v>31</v>
      </c>
      <c r="E944" t="s">
        <v>57</v>
      </c>
      <c r="F944">
        <v>33564957</v>
      </c>
      <c r="G944">
        <v>295429</v>
      </c>
    </row>
    <row r="945" spans="2:7" x14ac:dyDescent="0.3">
      <c r="B945" t="str">
        <f t="shared" si="28"/>
        <v>J4o</v>
      </c>
      <c r="C945" t="str">
        <f t="shared" si="29"/>
        <v>JH 4D</v>
      </c>
      <c r="D945" t="s">
        <v>31</v>
      </c>
      <c r="E945" t="s">
        <v>58</v>
      </c>
      <c r="F945">
        <v>33564957</v>
      </c>
      <c r="G945">
        <v>279045</v>
      </c>
    </row>
    <row r="946" spans="2:7" x14ac:dyDescent="0.3">
      <c r="B946" t="str">
        <f t="shared" si="28"/>
        <v>J4o</v>
      </c>
      <c r="C946" t="str">
        <f t="shared" si="29"/>
        <v>JH 4S</v>
      </c>
      <c r="D946" t="s">
        <v>31</v>
      </c>
      <c r="E946" t="s">
        <v>60</v>
      </c>
      <c r="F946">
        <v>33564957</v>
      </c>
      <c r="G946">
        <v>266757</v>
      </c>
    </row>
    <row r="947" spans="2:7" x14ac:dyDescent="0.3">
      <c r="B947" t="str">
        <f t="shared" si="28"/>
        <v>J4o</v>
      </c>
      <c r="C947" t="str">
        <f t="shared" si="29"/>
        <v>JS 4C</v>
      </c>
      <c r="D947" t="s">
        <v>32</v>
      </c>
      <c r="E947" t="s">
        <v>57</v>
      </c>
      <c r="F947">
        <v>33560861</v>
      </c>
      <c r="G947">
        <v>295429</v>
      </c>
    </row>
    <row r="948" spans="2:7" x14ac:dyDescent="0.3">
      <c r="B948" t="str">
        <f t="shared" si="28"/>
        <v>J4o</v>
      </c>
      <c r="C948" t="str">
        <f t="shared" si="29"/>
        <v>JS 4D</v>
      </c>
      <c r="D948" t="s">
        <v>32</v>
      </c>
      <c r="E948" t="s">
        <v>58</v>
      </c>
      <c r="F948">
        <v>33560861</v>
      </c>
      <c r="G948">
        <v>279045</v>
      </c>
    </row>
    <row r="949" spans="2:7" x14ac:dyDescent="0.3">
      <c r="B949" t="str">
        <f t="shared" si="28"/>
        <v>J4o</v>
      </c>
      <c r="C949" t="str">
        <f t="shared" si="29"/>
        <v>JS 4H</v>
      </c>
      <c r="D949" t="s">
        <v>32</v>
      </c>
      <c r="E949" t="s">
        <v>59</v>
      </c>
      <c r="F949">
        <v>33560861</v>
      </c>
      <c r="G949">
        <v>270853</v>
      </c>
    </row>
    <row r="950" spans="2:7" x14ac:dyDescent="0.3">
      <c r="B950" t="str">
        <f t="shared" si="28"/>
        <v>T4o</v>
      </c>
      <c r="C950" t="str">
        <f t="shared" si="29"/>
        <v>TC 4D</v>
      </c>
      <c r="D950" t="s">
        <v>33</v>
      </c>
      <c r="E950" t="s">
        <v>58</v>
      </c>
      <c r="F950">
        <v>16812055</v>
      </c>
      <c r="G950">
        <v>279045</v>
      </c>
    </row>
    <row r="951" spans="2:7" x14ac:dyDescent="0.3">
      <c r="B951" t="str">
        <f t="shared" si="28"/>
        <v>T4o</v>
      </c>
      <c r="C951" t="str">
        <f t="shared" si="29"/>
        <v>TC 4H</v>
      </c>
      <c r="D951" t="s">
        <v>33</v>
      </c>
      <c r="E951" t="s">
        <v>59</v>
      </c>
      <c r="F951">
        <v>16812055</v>
      </c>
      <c r="G951">
        <v>270853</v>
      </c>
    </row>
    <row r="952" spans="2:7" x14ac:dyDescent="0.3">
      <c r="B952" t="str">
        <f t="shared" si="28"/>
        <v>T4o</v>
      </c>
      <c r="C952" t="str">
        <f t="shared" si="29"/>
        <v>TC 4S</v>
      </c>
      <c r="D952" t="s">
        <v>33</v>
      </c>
      <c r="E952" t="s">
        <v>60</v>
      </c>
      <c r="F952">
        <v>16812055</v>
      </c>
      <c r="G952">
        <v>266757</v>
      </c>
    </row>
    <row r="953" spans="2:7" x14ac:dyDescent="0.3">
      <c r="B953" t="str">
        <f t="shared" si="28"/>
        <v>T4o</v>
      </c>
      <c r="C953" t="str">
        <f t="shared" si="29"/>
        <v>TD 4C</v>
      </c>
      <c r="D953" t="s">
        <v>34</v>
      </c>
      <c r="E953" t="s">
        <v>57</v>
      </c>
      <c r="F953">
        <v>16795671</v>
      </c>
      <c r="G953">
        <v>295429</v>
      </c>
    </row>
    <row r="954" spans="2:7" x14ac:dyDescent="0.3">
      <c r="B954" t="str">
        <f t="shared" si="28"/>
        <v>T4o</v>
      </c>
      <c r="C954" t="str">
        <f t="shared" si="29"/>
        <v>TD 4H</v>
      </c>
      <c r="D954" t="s">
        <v>34</v>
      </c>
      <c r="E954" t="s">
        <v>59</v>
      </c>
      <c r="F954">
        <v>16795671</v>
      </c>
      <c r="G954">
        <v>270853</v>
      </c>
    </row>
    <row r="955" spans="2:7" x14ac:dyDescent="0.3">
      <c r="B955" t="str">
        <f t="shared" si="28"/>
        <v>T4o</v>
      </c>
      <c r="C955" t="str">
        <f t="shared" si="29"/>
        <v>TD 4S</v>
      </c>
      <c r="D955" t="s">
        <v>34</v>
      </c>
      <c r="E955" t="s">
        <v>60</v>
      </c>
      <c r="F955">
        <v>16795671</v>
      </c>
      <c r="G955">
        <v>266757</v>
      </c>
    </row>
    <row r="956" spans="2:7" x14ac:dyDescent="0.3">
      <c r="B956" t="str">
        <f t="shared" si="28"/>
        <v>T4o</v>
      </c>
      <c r="C956" t="str">
        <f t="shared" si="29"/>
        <v>TH 4C</v>
      </c>
      <c r="D956" t="s">
        <v>35</v>
      </c>
      <c r="E956" t="s">
        <v>57</v>
      </c>
      <c r="F956">
        <v>16787479</v>
      </c>
      <c r="G956">
        <v>295429</v>
      </c>
    </row>
    <row r="957" spans="2:7" x14ac:dyDescent="0.3">
      <c r="B957" t="str">
        <f t="shared" si="28"/>
        <v>T4o</v>
      </c>
      <c r="C957" t="str">
        <f t="shared" si="29"/>
        <v>TH 4D</v>
      </c>
      <c r="D957" t="s">
        <v>35</v>
      </c>
      <c r="E957" t="s">
        <v>58</v>
      </c>
      <c r="F957">
        <v>16787479</v>
      </c>
      <c r="G957">
        <v>279045</v>
      </c>
    </row>
    <row r="958" spans="2:7" x14ac:dyDescent="0.3">
      <c r="B958" t="str">
        <f t="shared" si="28"/>
        <v>T4o</v>
      </c>
      <c r="C958" t="str">
        <f t="shared" si="29"/>
        <v>TH 4S</v>
      </c>
      <c r="D958" t="s">
        <v>35</v>
      </c>
      <c r="E958" t="s">
        <v>60</v>
      </c>
      <c r="F958">
        <v>16787479</v>
      </c>
      <c r="G958">
        <v>266757</v>
      </c>
    </row>
    <row r="959" spans="2:7" x14ac:dyDescent="0.3">
      <c r="B959" t="str">
        <f t="shared" si="28"/>
        <v>T4o</v>
      </c>
      <c r="C959" t="str">
        <f t="shared" si="29"/>
        <v>TS 4C</v>
      </c>
      <c r="D959" t="s">
        <v>36</v>
      </c>
      <c r="E959" t="s">
        <v>57</v>
      </c>
      <c r="F959">
        <v>16783383</v>
      </c>
      <c r="G959">
        <v>295429</v>
      </c>
    </row>
    <row r="960" spans="2:7" x14ac:dyDescent="0.3">
      <c r="B960" t="str">
        <f t="shared" si="28"/>
        <v>T4o</v>
      </c>
      <c r="C960" t="str">
        <f t="shared" si="29"/>
        <v>TS 4D</v>
      </c>
      <c r="D960" t="s">
        <v>36</v>
      </c>
      <c r="E960" t="s">
        <v>58</v>
      </c>
      <c r="F960">
        <v>16783383</v>
      </c>
      <c r="G960">
        <v>279045</v>
      </c>
    </row>
    <row r="961" spans="2:7" x14ac:dyDescent="0.3">
      <c r="B961" t="str">
        <f t="shared" si="28"/>
        <v>T4o</v>
      </c>
      <c r="C961" t="str">
        <f t="shared" si="29"/>
        <v>TS 4H</v>
      </c>
      <c r="D961" t="s">
        <v>36</v>
      </c>
      <c r="E961" t="s">
        <v>59</v>
      </c>
      <c r="F961">
        <v>16783383</v>
      </c>
      <c r="G961">
        <v>270853</v>
      </c>
    </row>
    <row r="962" spans="2:7" x14ac:dyDescent="0.3">
      <c r="B962" t="str">
        <f t="shared" si="28"/>
        <v>94o</v>
      </c>
      <c r="C962" t="str">
        <f t="shared" si="29"/>
        <v>9C 4D</v>
      </c>
      <c r="D962" t="s">
        <v>37</v>
      </c>
      <c r="E962" t="s">
        <v>58</v>
      </c>
      <c r="F962">
        <v>8423187</v>
      </c>
      <c r="G962">
        <v>279045</v>
      </c>
    </row>
    <row r="963" spans="2:7" x14ac:dyDescent="0.3">
      <c r="B963" t="str">
        <f t="shared" ref="B963:B1026" si="30">LEFT(D963,1)&amp;LEFT(E963,1)&amp;IF(LEFT(D963,1)=LEFT(E963,1), "", IF(RIGHT(D963,1)=RIGHT(E963,1), "s", "o"))</f>
        <v>94o</v>
      </c>
      <c r="C963" t="str">
        <f t="shared" ref="C963:C1026" si="31">UPPER(D963&amp;" "&amp;E963)</f>
        <v>9C 4H</v>
      </c>
      <c r="D963" t="s">
        <v>37</v>
      </c>
      <c r="E963" t="s">
        <v>59</v>
      </c>
      <c r="F963">
        <v>8423187</v>
      </c>
      <c r="G963">
        <v>270853</v>
      </c>
    </row>
    <row r="964" spans="2:7" x14ac:dyDescent="0.3">
      <c r="B964" t="str">
        <f t="shared" si="30"/>
        <v>94o</v>
      </c>
      <c r="C964" t="str">
        <f t="shared" si="31"/>
        <v>9C 4S</v>
      </c>
      <c r="D964" t="s">
        <v>37</v>
      </c>
      <c r="E964" t="s">
        <v>60</v>
      </c>
      <c r="F964">
        <v>8423187</v>
      </c>
      <c r="G964">
        <v>266757</v>
      </c>
    </row>
    <row r="965" spans="2:7" x14ac:dyDescent="0.3">
      <c r="B965" t="str">
        <f t="shared" si="30"/>
        <v>94o</v>
      </c>
      <c r="C965" t="str">
        <f t="shared" si="31"/>
        <v>9D 4C</v>
      </c>
      <c r="D965" t="s">
        <v>38</v>
      </c>
      <c r="E965" t="s">
        <v>57</v>
      </c>
      <c r="F965">
        <v>8406803</v>
      </c>
      <c r="G965">
        <v>295429</v>
      </c>
    </row>
    <row r="966" spans="2:7" x14ac:dyDescent="0.3">
      <c r="B966" t="str">
        <f t="shared" si="30"/>
        <v>94o</v>
      </c>
      <c r="C966" t="str">
        <f t="shared" si="31"/>
        <v>9D 4H</v>
      </c>
      <c r="D966" t="s">
        <v>38</v>
      </c>
      <c r="E966" t="s">
        <v>59</v>
      </c>
      <c r="F966">
        <v>8406803</v>
      </c>
      <c r="G966">
        <v>270853</v>
      </c>
    </row>
    <row r="967" spans="2:7" x14ac:dyDescent="0.3">
      <c r="B967" t="str">
        <f t="shared" si="30"/>
        <v>94o</v>
      </c>
      <c r="C967" t="str">
        <f t="shared" si="31"/>
        <v>9D 4S</v>
      </c>
      <c r="D967" t="s">
        <v>38</v>
      </c>
      <c r="E967" t="s">
        <v>60</v>
      </c>
      <c r="F967">
        <v>8406803</v>
      </c>
      <c r="G967">
        <v>266757</v>
      </c>
    </row>
    <row r="968" spans="2:7" x14ac:dyDescent="0.3">
      <c r="B968" t="str">
        <f t="shared" si="30"/>
        <v>94o</v>
      </c>
      <c r="C968" t="str">
        <f t="shared" si="31"/>
        <v>9H 4C</v>
      </c>
      <c r="D968" t="s">
        <v>39</v>
      </c>
      <c r="E968" t="s">
        <v>57</v>
      </c>
      <c r="F968">
        <v>8398611</v>
      </c>
      <c r="G968">
        <v>295429</v>
      </c>
    </row>
    <row r="969" spans="2:7" x14ac:dyDescent="0.3">
      <c r="B969" t="str">
        <f t="shared" si="30"/>
        <v>94o</v>
      </c>
      <c r="C969" t="str">
        <f t="shared" si="31"/>
        <v>9H 4D</v>
      </c>
      <c r="D969" t="s">
        <v>39</v>
      </c>
      <c r="E969" t="s">
        <v>58</v>
      </c>
      <c r="F969">
        <v>8398611</v>
      </c>
      <c r="G969">
        <v>279045</v>
      </c>
    </row>
    <row r="970" spans="2:7" x14ac:dyDescent="0.3">
      <c r="B970" t="str">
        <f t="shared" si="30"/>
        <v>94o</v>
      </c>
      <c r="C970" t="str">
        <f t="shared" si="31"/>
        <v>9H 4S</v>
      </c>
      <c r="D970" t="s">
        <v>39</v>
      </c>
      <c r="E970" t="s">
        <v>60</v>
      </c>
      <c r="F970">
        <v>8398611</v>
      </c>
      <c r="G970">
        <v>266757</v>
      </c>
    </row>
    <row r="971" spans="2:7" x14ac:dyDescent="0.3">
      <c r="B971" t="str">
        <f t="shared" si="30"/>
        <v>94o</v>
      </c>
      <c r="C971" t="str">
        <f t="shared" si="31"/>
        <v>9S 4C</v>
      </c>
      <c r="D971" t="s">
        <v>40</v>
      </c>
      <c r="E971" t="s">
        <v>57</v>
      </c>
      <c r="F971">
        <v>8394515</v>
      </c>
      <c r="G971">
        <v>295429</v>
      </c>
    </row>
    <row r="972" spans="2:7" x14ac:dyDescent="0.3">
      <c r="B972" t="str">
        <f t="shared" si="30"/>
        <v>94o</v>
      </c>
      <c r="C972" t="str">
        <f t="shared" si="31"/>
        <v>9S 4D</v>
      </c>
      <c r="D972" t="s">
        <v>40</v>
      </c>
      <c r="E972" t="s">
        <v>58</v>
      </c>
      <c r="F972">
        <v>8394515</v>
      </c>
      <c r="G972">
        <v>279045</v>
      </c>
    </row>
    <row r="973" spans="2:7" x14ac:dyDescent="0.3">
      <c r="B973" t="str">
        <f t="shared" si="30"/>
        <v>94o</v>
      </c>
      <c r="C973" t="str">
        <f t="shared" si="31"/>
        <v>9S 4H</v>
      </c>
      <c r="D973" t="s">
        <v>40</v>
      </c>
      <c r="E973" t="s">
        <v>59</v>
      </c>
      <c r="F973">
        <v>8394515</v>
      </c>
      <c r="G973">
        <v>270853</v>
      </c>
    </row>
    <row r="974" spans="2:7" x14ac:dyDescent="0.3">
      <c r="B974" t="str">
        <f t="shared" si="30"/>
        <v>84o</v>
      </c>
      <c r="C974" t="str">
        <f t="shared" si="31"/>
        <v>8C 4D</v>
      </c>
      <c r="D974" t="s">
        <v>41</v>
      </c>
      <c r="E974" t="s">
        <v>58</v>
      </c>
      <c r="F974">
        <v>4228625</v>
      </c>
      <c r="G974">
        <v>279045</v>
      </c>
    </row>
    <row r="975" spans="2:7" x14ac:dyDescent="0.3">
      <c r="B975" t="str">
        <f t="shared" si="30"/>
        <v>84o</v>
      </c>
      <c r="C975" t="str">
        <f t="shared" si="31"/>
        <v>8C 4H</v>
      </c>
      <c r="D975" t="s">
        <v>41</v>
      </c>
      <c r="E975" t="s">
        <v>59</v>
      </c>
      <c r="F975">
        <v>4228625</v>
      </c>
      <c r="G975">
        <v>270853</v>
      </c>
    </row>
    <row r="976" spans="2:7" x14ac:dyDescent="0.3">
      <c r="B976" t="str">
        <f t="shared" si="30"/>
        <v>84o</v>
      </c>
      <c r="C976" t="str">
        <f t="shared" si="31"/>
        <v>8C 4S</v>
      </c>
      <c r="D976" t="s">
        <v>41</v>
      </c>
      <c r="E976" t="s">
        <v>60</v>
      </c>
      <c r="F976">
        <v>4228625</v>
      </c>
      <c r="G976">
        <v>266757</v>
      </c>
    </row>
    <row r="977" spans="2:7" x14ac:dyDescent="0.3">
      <c r="B977" t="str">
        <f t="shared" si="30"/>
        <v>84o</v>
      </c>
      <c r="C977" t="str">
        <f t="shared" si="31"/>
        <v>8D 4C</v>
      </c>
      <c r="D977" t="s">
        <v>42</v>
      </c>
      <c r="E977" t="s">
        <v>57</v>
      </c>
      <c r="F977">
        <v>4212241</v>
      </c>
      <c r="G977">
        <v>295429</v>
      </c>
    </row>
    <row r="978" spans="2:7" x14ac:dyDescent="0.3">
      <c r="B978" t="str">
        <f t="shared" si="30"/>
        <v>84o</v>
      </c>
      <c r="C978" t="str">
        <f t="shared" si="31"/>
        <v>8D 4H</v>
      </c>
      <c r="D978" t="s">
        <v>42</v>
      </c>
      <c r="E978" t="s">
        <v>59</v>
      </c>
      <c r="F978">
        <v>4212241</v>
      </c>
      <c r="G978">
        <v>270853</v>
      </c>
    </row>
    <row r="979" spans="2:7" x14ac:dyDescent="0.3">
      <c r="B979" t="str">
        <f t="shared" si="30"/>
        <v>84o</v>
      </c>
      <c r="C979" t="str">
        <f t="shared" si="31"/>
        <v>8D 4S</v>
      </c>
      <c r="D979" t="s">
        <v>42</v>
      </c>
      <c r="E979" t="s">
        <v>60</v>
      </c>
      <c r="F979">
        <v>4212241</v>
      </c>
      <c r="G979">
        <v>266757</v>
      </c>
    </row>
    <row r="980" spans="2:7" x14ac:dyDescent="0.3">
      <c r="B980" t="str">
        <f t="shared" si="30"/>
        <v>84o</v>
      </c>
      <c r="C980" t="str">
        <f t="shared" si="31"/>
        <v>8H 4C</v>
      </c>
      <c r="D980" t="s">
        <v>43</v>
      </c>
      <c r="E980" t="s">
        <v>57</v>
      </c>
      <c r="F980">
        <v>4204049</v>
      </c>
      <c r="G980">
        <v>295429</v>
      </c>
    </row>
    <row r="981" spans="2:7" x14ac:dyDescent="0.3">
      <c r="B981" t="str">
        <f t="shared" si="30"/>
        <v>84o</v>
      </c>
      <c r="C981" t="str">
        <f t="shared" si="31"/>
        <v>8H 4D</v>
      </c>
      <c r="D981" t="s">
        <v>43</v>
      </c>
      <c r="E981" t="s">
        <v>58</v>
      </c>
      <c r="F981">
        <v>4204049</v>
      </c>
      <c r="G981">
        <v>279045</v>
      </c>
    </row>
    <row r="982" spans="2:7" x14ac:dyDescent="0.3">
      <c r="B982" t="str">
        <f t="shared" si="30"/>
        <v>84o</v>
      </c>
      <c r="C982" t="str">
        <f t="shared" si="31"/>
        <v>8H 4S</v>
      </c>
      <c r="D982" t="s">
        <v>43</v>
      </c>
      <c r="E982" t="s">
        <v>60</v>
      </c>
      <c r="F982">
        <v>4204049</v>
      </c>
      <c r="G982">
        <v>266757</v>
      </c>
    </row>
    <row r="983" spans="2:7" x14ac:dyDescent="0.3">
      <c r="B983" t="str">
        <f t="shared" si="30"/>
        <v>84o</v>
      </c>
      <c r="C983" t="str">
        <f t="shared" si="31"/>
        <v>8S 4C</v>
      </c>
      <c r="D983" t="s">
        <v>44</v>
      </c>
      <c r="E983" t="s">
        <v>57</v>
      </c>
      <c r="F983">
        <v>4199953</v>
      </c>
      <c r="G983">
        <v>295429</v>
      </c>
    </row>
    <row r="984" spans="2:7" x14ac:dyDescent="0.3">
      <c r="B984" t="str">
        <f t="shared" si="30"/>
        <v>84o</v>
      </c>
      <c r="C984" t="str">
        <f t="shared" si="31"/>
        <v>8S 4D</v>
      </c>
      <c r="D984" t="s">
        <v>44</v>
      </c>
      <c r="E984" t="s">
        <v>58</v>
      </c>
      <c r="F984">
        <v>4199953</v>
      </c>
      <c r="G984">
        <v>279045</v>
      </c>
    </row>
    <row r="985" spans="2:7" x14ac:dyDescent="0.3">
      <c r="B985" t="str">
        <f t="shared" si="30"/>
        <v>84o</v>
      </c>
      <c r="C985" t="str">
        <f t="shared" si="31"/>
        <v>8S 4H</v>
      </c>
      <c r="D985" t="s">
        <v>44</v>
      </c>
      <c r="E985" t="s">
        <v>59</v>
      </c>
      <c r="F985">
        <v>4199953</v>
      </c>
      <c r="G985">
        <v>270853</v>
      </c>
    </row>
    <row r="986" spans="2:7" x14ac:dyDescent="0.3">
      <c r="B986" t="str">
        <f t="shared" si="30"/>
        <v>74o</v>
      </c>
      <c r="C986" t="str">
        <f t="shared" si="31"/>
        <v>7C 4D</v>
      </c>
      <c r="D986" t="s">
        <v>45</v>
      </c>
      <c r="E986" t="s">
        <v>58</v>
      </c>
      <c r="F986">
        <v>2131213</v>
      </c>
      <c r="G986">
        <v>279045</v>
      </c>
    </row>
    <row r="987" spans="2:7" x14ac:dyDescent="0.3">
      <c r="B987" t="str">
        <f t="shared" si="30"/>
        <v>74o</v>
      </c>
      <c r="C987" t="str">
        <f t="shared" si="31"/>
        <v>7C 4H</v>
      </c>
      <c r="D987" t="s">
        <v>45</v>
      </c>
      <c r="E987" t="s">
        <v>59</v>
      </c>
      <c r="F987">
        <v>2131213</v>
      </c>
      <c r="G987">
        <v>270853</v>
      </c>
    </row>
    <row r="988" spans="2:7" x14ac:dyDescent="0.3">
      <c r="B988" t="str">
        <f t="shared" si="30"/>
        <v>74o</v>
      </c>
      <c r="C988" t="str">
        <f t="shared" si="31"/>
        <v>7C 4S</v>
      </c>
      <c r="D988" t="s">
        <v>45</v>
      </c>
      <c r="E988" t="s">
        <v>60</v>
      </c>
      <c r="F988">
        <v>2131213</v>
      </c>
      <c r="G988">
        <v>266757</v>
      </c>
    </row>
    <row r="989" spans="2:7" x14ac:dyDescent="0.3">
      <c r="B989" t="str">
        <f t="shared" si="30"/>
        <v>74o</v>
      </c>
      <c r="C989" t="str">
        <f t="shared" si="31"/>
        <v>7D 4C</v>
      </c>
      <c r="D989" t="s">
        <v>46</v>
      </c>
      <c r="E989" t="s">
        <v>57</v>
      </c>
      <c r="F989">
        <v>2114829</v>
      </c>
      <c r="G989">
        <v>295429</v>
      </c>
    </row>
    <row r="990" spans="2:7" x14ac:dyDescent="0.3">
      <c r="B990" t="str">
        <f t="shared" si="30"/>
        <v>74o</v>
      </c>
      <c r="C990" t="str">
        <f t="shared" si="31"/>
        <v>7D 4H</v>
      </c>
      <c r="D990" t="s">
        <v>46</v>
      </c>
      <c r="E990" t="s">
        <v>59</v>
      </c>
      <c r="F990">
        <v>2114829</v>
      </c>
      <c r="G990">
        <v>270853</v>
      </c>
    </row>
    <row r="991" spans="2:7" x14ac:dyDescent="0.3">
      <c r="B991" t="str">
        <f t="shared" si="30"/>
        <v>74o</v>
      </c>
      <c r="C991" t="str">
        <f t="shared" si="31"/>
        <v>7D 4S</v>
      </c>
      <c r="D991" t="s">
        <v>46</v>
      </c>
      <c r="E991" t="s">
        <v>60</v>
      </c>
      <c r="F991">
        <v>2114829</v>
      </c>
      <c r="G991">
        <v>266757</v>
      </c>
    </row>
    <row r="992" spans="2:7" x14ac:dyDescent="0.3">
      <c r="B992" t="str">
        <f t="shared" si="30"/>
        <v>74o</v>
      </c>
      <c r="C992" t="str">
        <f t="shared" si="31"/>
        <v>7H 4C</v>
      </c>
      <c r="D992" t="s">
        <v>47</v>
      </c>
      <c r="E992" t="s">
        <v>57</v>
      </c>
      <c r="F992">
        <v>2106637</v>
      </c>
      <c r="G992">
        <v>295429</v>
      </c>
    </row>
    <row r="993" spans="2:7" x14ac:dyDescent="0.3">
      <c r="B993" t="str">
        <f t="shared" si="30"/>
        <v>74o</v>
      </c>
      <c r="C993" t="str">
        <f t="shared" si="31"/>
        <v>7H 4D</v>
      </c>
      <c r="D993" t="s">
        <v>47</v>
      </c>
      <c r="E993" t="s">
        <v>58</v>
      </c>
      <c r="F993">
        <v>2106637</v>
      </c>
      <c r="G993">
        <v>279045</v>
      </c>
    </row>
    <row r="994" spans="2:7" x14ac:dyDescent="0.3">
      <c r="B994" t="str">
        <f t="shared" si="30"/>
        <v>74o</v>
      </c>
      <c r="C994" t="str">
        <f t="shared" si="31"/>
        <v>7H 4S</v>
      </c>
      <c r="D994" t="s">
        <v>47</v>
      </c>
      <c r="E994" t="s">
        <v>60</v>
      </c>
      <c r="F994">
        <v>2106637</v>
      </c>
      <c r="G994">
        <v>266757</v>
      </c>
    </row>
    <row r="995" spans="2:7" x14ac:dyDescent="0.3">
      <c r="B995" t="str">
        <f t="shared" si="30"/>
        <v>74o</v>
      </c>
      <c r="C995" t="str">
        <f t="shared" si="31"/>
        <v>7S 4C</v>
      </c>
      <c r="D995" t="s">
        <v>48</v>
      </c>
      <c r="E995" t="s">
        <v>57</v>
      </c>
      <c r="F995">
        <v>2102541</v>
      </c>
      <c r="G995">
        <v>295429</v>
      </c>
    </row>
    <row r="996" spans="2:7" x14ac:dyDescent="0.3">
      <c r="B996" t="str">
        <f t="shared" si="30"/>
        <v>74o</v>
      </c>
      <c r="C996" t="str">
        <f t="shared" si="31"/>
        <v>7S 4D</v>
      </c>
      <c r="D996" t="s">
        <v>48</v>
      </c>
      <c r="E996" t="s">
        <v>58</v>
      </c>
      <c r="F996">
        <v>2102541</v>
      </c>
      <c r="G996">
        <v>279045</v>
      </c>
    </row>
    <row r="997" spans="2:7" x14ac:dyDescent="0.3">
      <c r="B997" t="str">
        <f t="shared" si="30"/>
        <v>74o</v>
      </c>
      <c r="C997" t="str">
        <f t="shared" si="31"/>
        <v>7S 4H</v>
      </c>
      <c r="D997" t="s">
        <v>48</v>
      </c>
      <c r="E997" t="s">
        <v>59</v>
      </c>
      <c r="F997">
        <v>2102541</v>
      </c>
      <c r="G997">
        <v>270853</v>
      </c>
    </row>
    <row r="998" spans="2:7" x14ac:dyDescent="0.3">
      <c r="B998" t="str">
        <f t="shared" si="30"/>
        <v>64o</v>
      </c>
      <c r="C998" t="str">
        <f t="shared" si="31"/>
        <v>6C 4D</v>
      </c>
      <c r="D998" t="s">
        <v>49</v>
      </c>
      <c r="E998" t="s">
        <v>58</v>
      </c>
      <c r="F998">
        <v>1082379</v>
      </c>
      <c r="G998">
        <v>279045</v>
      </c>
    </row>
    <row r="999" spans="2:7" x14ac:dyDescent="0.3">
      <c r="B999" t="str">
        <f t="shared" si="30"/>
        <v>64o</v>
      </c>
      <c r="C999" t="str">
        <f t="shared" si="31"/>
        <v>6C 4H</v>
      </c>
      <c r="D999" t="s">
        <v>49</v>
      </c>
      <c r="E999" t="s">
        <v>59</v>
      </c>
      <c r="F999">
        <v>1082379</v>
      </c>
      <c r="G999">
        <v>270853</v>
      </c>
    </row>
    <row r="1000" spans="2:7" x14ac:dyDescent="0.3">
      <c r="B1000" t="str">
        <f t="shared" si="30"/>
        <v>64o</v>
      </c>
      <c r="C1000" t="str">
        <f t="shared" si="31"/>
        <v>6C 4S</v>
      </c>
      <c r="D1000" t="s">
        <v>49</v>
      </c>
      <c r="E1000" t="s">
        <v>60</v>
      </c>
      <c r="F1000">
        <v>1082379</v>
      </c>
      <c r="G1000">
        <v>266757</v>
      </c>
    </row>
    <row r="1001" spans="2:7" x14ac:dyDescent="0.3">
      <c r="B1001" t="str">
        <f t="shared" si="30"/>
        <v>64o</v>
      </c>
      <c r="C1001" t="str">
        <f t="shared" si="31"/>
        <v>6D 4C</v>
      </c>
      <c r="D1001" t="s">
        <v>50</v>
      </c>
      <c r="E1001" t="s">
        <v>57</v>
      </c>
      <c r="F1001">
        <v>1065995</v>
      </c>
      <c r="G1001">
        <v>295429</v>
      </c>
    </row>
    <row r="1002" spans="2:7" x14ac:dyDescent="0.3">
      <c r="B1002" t="str">
        <f t="shared" si="30"/>
        <v>64o</v>
      </c>
      <c r="C1002" t="str">
        <f t="shared" si="31"/>
        <v>6D 4H</v>
      </c>
      <c r="D1002" t="s">
        <v>50</v>
      </c>
      <c r="E1002" t="s">
        <v>59</v>
      </c>
      <c r="F1002">
        <v>1065995</v>
      </c>
      <c r="G1002">
        <v>270853</v>
      </c>
    </row>
    <row r="1003" spans="2:7" x14ac:dyDescent="0.3">
      <c r="B1003" t="str">
        <f t="shared" si="30"/>
        <v>64o</v>
      </c>
      <c r="C1003" t="str">
        <f t="shared" si="31"/>
        <v>6D 4S</v>
      </c>
      <c r="D1003" t="s">
        <v>50</v>
      </c>
      <c r="E1003" t="s">
        <v>60</v>
      </c>
      <c r="F1003">
        <v>1065995</v>
      </c>
      <c r="G1003">
        <v>266757</v>
      </c>
    </row>
    <row r="1004" spans="2:7" x14ac:dyDescent="0.3">
      <c r="B1004" t="str">
        <f t="shared" si="30"/>
        <v>64o</v>
      </c>
      <c r="C1004" t="str">
        <f t="shared" si="31"/>
        <v>6H 4C</v>
      </c>
      <c r="D1004" t="s">
        <v>51</v>
      </c>
      <c r="E1004" t="s">
        <v>57</v>
      </c>
      <c r="F1004">
        <v>1057803</v>
      </c>
      <c r="G1004">
        <v>295429</v>
      </c>
    </row>
    <row r="1005" spans="2:7" x14ac:dyDescent="0.3">
      <c r="B1005" t="str">
        <f t="shared" si="30"/>
        <v>64o</v>
      </c>
      <c r="C1005" t="str">
        <f t="shared" si="31"/>
        <v>6H 4D</v>
      </c>
      <c r="D1005" t="s">
        <v>51</v>
      </c>
      <c r="E1005" t="s">
        <v>58</v>
      </c>
      <c r="F1005">
        <v>1057803</v>
      </c>
      <c r="G1005">
        <v>279045</v>
      </c>
    </row>
    <row r="1006" spans="2:7" x14ac:dyDescent="0.3">
      <c r="B1006" t="str">
        <f t="shared" si="30"/>
        <v>64o</v>
      </c>
      <c r="C1006" t="str">
        <f t="shared" si="31"/>
        <v>6H 4S</v>
      </c>
      <c r="D1006" t="s">
        <v>51</v>
      </c>
      <c r="E1006" t="s">
        <v>60</v>
      </c>
      <c r="F1006">
        <v>1057803</v>
      </c>
      <c r="G1006">
        <v>266757</v>
      </c>
    </row>
    <row r="1007" spans="2:7" x14ac:dyDescent="0.3">
      <c r="B1007" t="str">
        <f t="shared" si="30"/>
        <v>64o</v>
      </c>
      <c r="C1007" t="str">
        <f t="shared" si="31"/>
        <v>6S 4C</v>
      </c>
      <c r="D1007" t="s">
        <v>52</v>
      </c>
      <c r="E1007" t="s">
        <v>57</v>
      </c>
      <c r="F1007">
        <v>1053707</v>
      </c>
      <c r="G1007">
        <v>295429</v>
      </c>
    </row>
    <row r="1008" spans="2:7" x14ac:dyDescent="0.3">
      <c r="B1008" t="str">
        <f t="shared" si="30"/>
        <v>64o</v>
      </c>
      <c r="C1008" t="str">
        <f t="shared" si="31"/>
        <v>6S 4D</v>
      </c>
      <c r="D1008" t="s">
        <v>52</v>
      </c>
      <c r="E1008" t="s">
        <v>58</v>
      </c>
      <c r="F1008">
        <v>1053707</v>
      </c>
      <c r="G1008">
        <v>279045</v>
      </c>
    </row>
    <row r="1009" spans="2:7" x14ac:dyDescent="0.3">
      <c r="B1009" t="str">
        <f t="shared" si="30"/>
        <v>64o</v>
      </c>
      <c r="C1009" t="str">
        <f t="shared" si="31"/>
        <v>6S 4H</v>
      </c>
      <c r="D1009" t="s">
        <v>52</v>
      </c>
      <c r="E1009" t="s">
        <v>59</v>
      </c>
      <c r="F1009">
        <v>1053707</v>
      </c>
      <c r="G1009">
        <v>270853</v>
      </c>
    </row>
    <row r="1010" spans="2:7" x14ac:dyDescent="0.3">
      <c r="B1010" t="str">
        <f t="shared" si="30"/>
        <v>54o</v>
      </c>
      <c r="C1010" t="str">
        <f t="shared" si="31"/>
        <v>5C 4D</v>
      </c>
      <c r="D1010" t="s">
        <v>53</v>
      </c>
      <c r="E1010" t="s">
        <v>58</v>
      </c>
      <c r="F1010">
        <v>557831</v>
      </c>
      <c r="G1010">
        <v>279045</v>
      </c>
    </row>
    <row r="1011" spans="2:7" x14ac:dyDescent="0.3">
      <c r="B1011" t="str">
        <f t="shared" si="30"/>
        <v>54o</v>
      </c>
      <c r="C1011" t="str">
        <f t="shared" si="31"/>
        <v>5C 4H</v>
      </c>
      <c r="D1011" t="s">
        <v>53</v>
      </c>
      <c r="E1011" t="s">
        <v>59</v>
      </c>
      <c r="F1011">
        <v>557831</v>
      </c>
      <c r="G1011">
        <v>270853</v>
      </c>
    </row>
    <row r="1012" spans="2:7" x14ac:dyDescent="0.3">
      <c r="B1012" t="str">
        <f t="shared" si="30"/>
        <v>54o</v>
      </c>
      <c r="C1012" t="str">
        <f t="shared" si="31"/>
        <v>5C 4S</v>
      </c>
      <c r="D1012" t="s">
        <v>53</v>
      </c>
      <c r="E1012" t="s">
        <v>60</v>
      </c>
      <c r="F1012">
        <v>557831</v>
      </c>
      <c r="G1012">
        <v>266757</v>
      </c>
    </row>
    <row r="1013" spans="2:7" x14ac:dyDescent="0.3">
      <c r="B1013" t="str">
        <f t="shared" si="30"/>
        <v>54o</v>
      </c>
      <c r="C1013" t="str">
        <f t="shared" si="31"/>
        <v>5D 4C</v>
      </c>
      <c r="D1013" t="s">
        <v>54</v>
      </c>
      <c r="E1013" t="s">
        <v>57</v>
      </c>
      <c r="F1013">
        <v>541447</v>
      </c>
      <c r="G1013">
        <v>295429</v>
      </c>
    </row>
    <row r="1014" spans="2:7" x14ac:dyDescent="0.3">
      <c r="B1014" t="str">
        <f t="shared" si="30"/>
        <v>54o</v>
      </c>
      <c r="C1014" t="str">
        <f t="shared" si="31"/>
        <v>5D 4H</v>
      </c>
      <c r="D1014" t="s">
        <v>54</v>
      </c>
      <c r="E1014" t="s">
        <v>59</v>
      </c>
      <c r="F1014">
        <v>541447</v>
      </c>
      <c r="G1014">
        <v>270853</v>
      </c>
    </row>
    <row r="1015" spans="2:7" x14ac:dyDescent="0.3">
      <c r="B1015" t="str">
        <f t="shared" si="30"/>
        <v>54o</v>
      </c>
      <c r="C1015" t="str">
        <f t="shared" si="31"/>
        <v>5D 4S</v>
      </c>
      <c r="D1015" t="s">
        <v>54</v>
      </c>
      <c r="E1015" t="s">
        <v>60</v>
      </c>
      <c r="F1015">
        <v>541447</v>
      </c>
      <c r="G1015">
        <v>266757</v>
      </c>
    </row>
    <row r="1016" spans="2:7" x14ac:dyDescent="0.3">
      <c r="B1016" t="str">
        <f t="shared" si="30"/>
        <v>54o</v>
      </c>
      <c r="C1016" t="str">
        <f t="shared" si="31"/>
        <v>5H 4C</v>
      </c>
      <c r="D1016" t="s">
        <v>55</v>
      </c>
      <c r="E1016" t="s">
        <v>57</v>
      </c>
      <c r="F1016">
        <v>533255</v>
      </c>
      <c r="G1016">
        <v>295429</v>
      </c>
    </row>
    <row r="1017" spans="2:7" x14ac:dyDescent="0.3">
      <c r="B1017" t="str">
        <f t="shared" si="30"/>
        <v>54o</v>
      </c>
      <c r="C1017" t="str">
        <f t="shared" si="31"/>
        <v>5H 4D</v>
      </c>
      <c r="D1017" t="s">
        <v>55</v>
      </c>
      <c r="E1017" t="s">
        <v>58</v>
      </c>
      <c r="F1017">
        <v>533255</v>
      </c>
      <c r="G1017">
        <v>279045</v>
      </c>
    </row>
    <row r="1018" spans="2:7" x14ac:dyDescent="0.3">
      <c r="B1018" t="str">
        <f t="shared" si="30"/>
        <v>54o</v>
      </c>
      <c r="C1018" t="str">
        <f t="shared" si="31"/>
        <v>5H 4S</v>
      </c>
      <c r="D1018" t="s">
        <v>55</v>
      </c>
      <c r="E1018" t="s">
        <v>60</v>
      </c>
      <c r="F1018">
        <v>533255</v>
      </c>
      <c r="G1018">
        <v>266757</v>
      </c>
    </row>
    <row r="1019" spans="2:7" x14ac:dyDescent="0.3">
      <c r="B1019" t="str">
        <f t="shared" si="30"/>
        <v>54o</v>
      </c>
      <c r="C1019" t="str">
        <f t="shared" si="31"/>
        <v>5S 4C</v>
      </c>
      <c r="D1019" t="s">
        <v>56</v>
      </c>
      <c r="E1019" t="s">
        <v>57</v>
      </c>
      <c r="F1019">
        <v>529159</v>
      </c>
      <c r="G1019">
        <v>295429</v>
      </c>
    </row>
    <row r="1020" spans="2:7" x14ac:dyDescent="0.3">
      <c r="B1020" t="str">
        <f t="shared" si="30"/>
        <v>54o</v>
      </c>
      <c r="C1020" t="str">
        <f t="shared" si="31"/>
        <v>5S 4D</v>
      </c>
      <c r="D1020" t="s">
        <v>56</v>
      </c>
      <c r="E1020" t="s">
        <v>58</v>
      </c>
      <c r="F1020">
        <v>529159</v>
      </c>
      <c r="G1020">
        <v>279045</v>
      </c>
    </row>
    <row r="1021" spans="2:7" x14ac:dyDescent="0.3">
      <c r="B1021" t="str">
        <f t="shared" si="30"/>
        <v>54o</v>
      </c>
      <c r="C1021" t="str">
        <f t="shared" si="31"/>
        <v>5S 4H</v>
      </c>
      <c r="D1021" t="s">
        <v>56</v>
      </c>
      <c r="E1021" t="s">
        <v>59</v>
      </c>
      <c r="F1021">
        <v>529159</v>
      </c>
      <c r="G1021">
        <v>270853</v>
      </c>
    </row>
    <row r="1022" spans="2:7" x14ac:dyDescent="0.3">
      <c r="B1022" t="str">
        <f t="shared" si="30"/>
        <v>44</v>
      </c>
      <c r="C1022" t="str">
        <f t="shared" si="31"/>
        <v>4C 4D</v>
      </c>
      <c r="D1022" t="s">
        <v>57</v>
      </c>
      <c r="E1022" t="s">
        <v>58</v>
      </c>
      <c r="F1022">
        <v>295429</v>
      </c>
      <c r="G1022">
        <v>279045</v>
      </c>
    </row>
    <row r="1023" spans="2:7" x14ac:dyDescent="0.3">
      <c r="B1023" t="str">
        <f t="shared" si="30"/>
        <v>44</v>
      </c>
      <c r="C1023" t="str">
        <f t="shared" si="31"/>
        <v>4C 4H</v>
      </c>
      <c r="D1023" t="s">
        <v>57</v>
      </c>
      <c r="E1023" t="s">
        <v>59</v>
      </c>
      <c r="F1023">
        <v>295429</v>
      </c>
      <c r="G1023">
        <v>270853</v>
      </c>
    </row>
    <row r="1024" spans="2:7" x14ac:dyDescent="0.3">
      <c r="B1024" t="str">
        <f t="shared" si="30"/>
        <v>44</v>
      </c>
      <c r="C1024" t="str">
        <f t="shared" si="31"/>
        <v>4C 4S</v>
      </c>
      <c r="D1024" t="s">
        <v>57</v>
      </c>
      <c r="E1024" t="s">
        <v>60</v>
      </c>
      <c r="F1024">
        <v>295429</v>
      </c>
      <c r="G1024">
        <v>266757</v>
      </c>
    </row>
    <row r="1025" spans="2:7" x14ac:dyDescent="0.3">
      <c r="B1025" t="str">
        <f t="shared" si="30"/>
        <v>44</v>
      </c>
      <c r="C1025" t="str">
        <f t="shared" si="31"/>
        <v>4D 4H</v>
      </c>
      <c r="D1025" t="s">
        <v>58</v>
      </c>
      <c r="E1025" t="s">
        <v>59</v>
      </c>
      <c r="F1025">
        <v>279045</v>
      </c>
      <c r="G1025">
        <v>270853</v>
      </c>
    </row>
    <row r="1026" spans="2:7" x14ac:dyDescent="0.3">
      <c r="B1026" t="str">
        <f t="shared" si="30"/>
        <v>44</v>
      </c>
      <c r="C1026" t="str">
        <f t="shared" si="31"/>
        <v>4D 4S</v>
      </c>
      <c r="D1026" t="s">
        <v>58</v>
      </c>
      <c r="E1026" t="s">
        <v>60</v>
      </c>
      <c r="F1026">
        <v>279045</v>
      </c>
      <c r="G1026">
        <v>266757</v>
      </c>
    </row>
    <row r="1027" spans="2:7" x14ac:dyDescent="0.3">
      <c r="B1027" t="str">
        <f t="shared" ref="B1027:B1090" si="32">LEFT(D1027,1)&amp;LEFT(E1027,1)&amp;IF(LEFT(D1027,1)=LEFT(E1027,1), "", IF(RIGHT(D1027,1)=RIGHT(E1027,1), "s", "o"))</f>
        <v>44</v>
      </c>
      <c r="C1027" t="str">
        <f t="shared" ref="C1027:C1090" si="33">UPPER(D1027&amp;" "&amp;E1027)</f>
        <v>4H 4S</v>
      </c>
      <c r="D1027" t="s">
        <v>59</v>
      </c>
      <c r="E1027" t="s">
        <v>60</v>
      </c>
      <c r="F1027">
        <v>270853</v>
      </c>
      <c r="G1027">
        <v>266757</v>
      </c>
    </row>
    <row r="1028" spans="2:7" x14ac:dyDescent="0.3">
      <c r="B1028" t="str">
        <f t="shared" si="32"/>
        <v>43s</v>
      </c>
      <c r="C1028" t="str">
        <f t="shared" si="33"/>
        <v>4C 3C</v>
      </c>
      <c r="D1028" t="s">
        <v>57</v>
      </c>
      <c r="E1028" t="s">
        <v>61</v>
      </c>
      <c r="F1028">
        <v>295429</v>
      </c>
      <c r="G1028">
        <v>164099</v>
      </c>
    </row>
    <row r="1029" spans="2:7" x14ac:dyDescent="0.3">
      <c r="B1029" t="str">
        <f t="shared" si="32"/>
        <v>43s</v>
      </c>
      <c r="C1029" t="str">
        <f t="shared" si="33"/>
        <v>4D 3D</v>
      </c>
      <c r="D1029" t="s">
        <v>58</v>
      </c>
      <c r="E1029" t="s">
        <v>62</v>
      </c>
      <c r="F1029">
        <v>279045</v>
      </c>
      <c r="G1029">
        <v>147715</v>
      </c>
    </row>
    <row r="1030" spans="2:7" x14ac:dyDescent="0.3">
      <c r="B1030" t="str">
        <f t="shared" si="32"/>
        <v>43s</v>
      </c>
      <c r="C1030" t="str">
        <f t="shared" si="33"/>
        <v>4H 3H</v>
      </c>
      <c r="D1030" t="s">
        <v>59</v>
      </c>
      <c r="E1030" t="s">
        <v>63</v>
      </c>
      <c r="F1030">
        <v>270853</v>
      </c>
      <c r="G1030">
        <v>139523</v>
      </c>
    </row>
    <row r="1031" spans="2:7" x14ac:dyDescent="0.3">
      <c r="B1031" t="str">
        <f t="shared" si="32"/>
        <v>43s</v>
      </c>
      <c r="C1031" t="str">
        <f t="shared" si="33"/>
        <v>4S 3S</v>
      </c>
      <c r="D1031" t="s">
        <v>60</v>
      </c>
      <c r="E1031" t="s">
        <v>64</v>
      </c>
      <c r="F1031">
        <v>266757</v>
      </c>
      <c r="G1031">
        <v>135427</v>
      </c>
    </row>
    <row r="1032" spans="2:7" x14ac:dyDescent="0.3">
      <c r="B1032" t="str">
        <f t="shared" si="32"/>
        <v>42s</v>
      </c>
      <c r="C1032" t="str">
        <f t="shared" si="33"/>
        <v>4C 2C</v>
      </c>
      <c r="D1032" t="s">
        <v>57</v>
      </c>
      <c r="E1032" t="s">
        <v>65</v>
      </c>
      <c r="F1032">
        <v>295429</v>
      </c>
      <c r="G1032">
        <v>98306</v>
      </c>
    </row>
    <row r="1033" spans="2:7" x14ac:dyDescent="0.3">
      <c r="B1033" t="str">
        <f t="shared" si="32"/>
        <v>42s</v>
      </c>
      <c r="C1033" t="str">
        <f t="shared" si="33"/>
        <v>4D 2D</v>
      </c>
      <c r="D1033" t="s">
        <v>58</v>
      </c>
      <c r="E1033" t="s">
        <v>66</v>
      </c>
      <c r="F1033">
        <v>279045</v>
      </c>
      <c r="G1033">
        <v>81922</v>
      </c>
    </row>
    <row r="1034" spans="2:7" x14ac:dyDescent="0.3">
      <c r="B1034" t="str">
        <f t="shared" si="32"/>
        <v>42s</v>
      </c>
      <c r="C1034" t="str">
        <f t="shared" si="33"/>
        <v>4H 2H</v>
      </c>
      <c r="D1034" t="s">
        <v>59</v>
      </c>
      <c r="E1034" t="s">
        <v>67</v>
      </c>
      <c r="F1034">
        <v>270853</v>
      </c>
      <c r="G1034">
        <v>73730</v>
      </c>
    </row>
    <row r="1035" spans="2:7" x14ac:dyDescent="0.3">
      <c r="B1035" t="str">
        <f t="shared" si="32"/>
        <v>42s</v>
      </c>
      <c r="C1035" t="str">
        <f t="shared" si="33"/>
        <v>4S 2S</v>
      </c>
      <c r="D1035" t="s">
        <v>60</v>
      </c>
      <c r="E1035" t="s">
        <v>68</v>
      </c>
      <c r="F1035">
        <v>266757</v>
      </c>
      <c r="G1035">
        <v>69634</v>
      </c>
    </row>
    <row r="1036" spans="2:7" x14ac:dyDescent="0.3">
      <c r="B1036" t="str">
        <f t="shared" si="32"/>
        <v>A3o</v>
      </c>
      <c r="C1036" t="str">
        <f t="shared" si="33"/>
        <v>AC 3D</v>
      </c>
      <c r="D1036" t="s">
        <v>17</v>
      </c>
      <c r="E1036" t="s">
        <v>62</v>
      </c>
      <c r="F1036">
        <v>268471337</v>
      </c>
      <c r="G1036">
        <v>147715</v>
      </c>
    </row>
    <row r="1037" spans="2:7" x14ac:dyDescent="0.3">
      <c r="B1037" t="str">
        <f t="shared" si="32"/>
        <v>A3o</v>
      </c>
      <c r="C1037" t="str">
        <f t="shared" si="33"/>
        <v>AC 3H</v>
      </c>
      <c r="D1037" t="s">
        <v>17</v>
      </c>
      <c r="E1037" t="s">
        <v>63</v>
      </c>
      <c r="F1037">
        <v>268471337</v>
      </c>
      <c r="G1037">
        <v>139523</v>
      </c>
    </row>
    <row r="1038" spans="2:7" x14ac:dyDescent="0.3">
      <c r="B1038" t="str">
        <f t="shared" si="32"/>
        <v>A3o</v>
      </c>
      <c r="C1038" t="str">
        <f t="shared" si="33"/>
        <v>AC 3S</v>
      </c>
      <c r="D1038" t="s">
        <v>17</v>
      </c>
      <c r="E1038" t="s">
        <v>64</v>
      </c>
      <c r="F1038">
        <v>268471337</v>
      </c>
      <c r="G1038">
        <v>135427</v>
      </c>
    </row>
    <row r="1039" spans="2:7" x14ac:dyDescent="0.3">
      <c r="B1039" t="str">
        <f t="shared" si="32"/>
        <v>A3o</v>
      </c>
      <c r="C1039" t="str">
        <f t="shared" si="33"/>
        <v>AD 3C</v>
      </c>
      <c r="D1039" t="s">
        <v>18</v>
      </c>
      <c r="E1039" t="s">
        <v>61</v>
      </c>
      <c r="F1039">
        <v>268454953</v>
      </c>
      <c r="G1039">
        <v>164099</v>
      </c>
    </row>
    <row r="1040" spans="2:7" x14ac:dyDescent="0.3">
      <c r="B1040" t="str">
        <f t="shared" si="32"/>
        <v>A3o</v>
      </c>
      <c r="C1040" t="str">
        <f t="shared" si="33"/>
        <v>AD 3H</v>
      </c>
      <c r="D1040" t="s">
        <v>18</v>
      </c>
      <c r="E1040" t="s">
        <v>63</v>
      </c>
      <c r="F1040">
        <v>268454953</v>
      </c>
      <c r="G1040">
        <v>139523</v>
      </c>
    </row>
    <row r="1041" spans="2:7" x14ac:dyDescent="0.3">
      <c r="B1041" t="str">
        <f t="shared" si="32"/>
        <v>A3o</v>
      </c>
      <c r="C1041" t="str">
        <f t="shared" si="33"/>
        <v>AD 3S</v>
      </c>
      <c r="D1041" t="s">
        <v>18</v>
      </c>
      <c r="E1041" t="s">
        <v>64</v>
      </c>
      <c r="F1041">
        <v>268454953</v>
      </c>
      <c r="G1041">
        <v>135427</v>
      </c>
    </row>
    <row r="1042" spans="2:7" x14ac:dyDescent="0.3">
      <c r="B1042" t="str">
        <f t="shared" si="32"/>
        <v>A3o</v>
      </c>
      <c r="C1042" t="str">
        <f t="shared" si="33"/>
        <v>AH 3C</v>
      </c>
      <c r="D1042" t="s">
        <v>19</v>
      </c>
      <c r="E1042" t="s">
        <v>61</v>
      </c>
      <c r="F1042">
        <v>268446761</v>
      </c>
      <c r="G1042">
        <v>164099</v>
      </c>
    </row>
    <row r="1043" spans="2:7" x14ac:dyDescent="0.3">
      <c r="B1043" t="str">
        <f t="shared" si="32"/>
        <v>A3o</v>
      </c>
      <c r="C1043" t="str">
        <f t="shared" si="33"/>
        <v>AH 3D</v>
      </c>
      <c r="D1043" t="s">
        <v>19</v>
      </c>
      <c r="E1043" t="s">
        <v>62</v>
      </c>
      <c r="F1043">
        <v>268446761</v>
      </c>
      <c r="G1043">
        <v>147715</v>
      </c>
    </row>
    <row r="1044" spans="2:7" x14ac:dyDescent="0.3">
      <c r="B1044" t="str">
        <f t="shared" si="32"/>
        <v>A3o</v>
      </c>
      <c r="C1044" t="str">
        <f t="shared" si="33"/>
        <v>AH 3S</v>
      </c>
      <c r="D1044" t="s">
        <v>19</v>
      </c>
      <c r="E1044" t="s">
        <v>64</v>
      </c>
      <c r="F1044">
        <v>268446761</v>
      </c>
      <c r="G1044">
        <v>135427</v>
      </c>
    </row>
    <row r="1045" spans="2:7" x14ac:dyDescent="0.3">
      <c r="B1045" t="str">
        <f t="shared" si="32"/>
        <v>A3o</v>
      </c>
      <c r="C1045" t="str">
        <f t="shared" si="33"/>
        <v>AS 3C</v>
      </c>
      <c r="D1045" t="s">
        <v>20</v>
      </c>
      <c r="E1045" t="s">
        <v>61</v>
      </c>
      <c r="F1045">
        <v>268442665</v>
      </c>
      <c r="G1045">
        <v>164099</v>
      </c>
    </row>
    <row r="1046" spans="2:7" x14ac:dyDescent="0.3">
      <c r="B1046" t="str">
        <f t="shared" si="32"/>
        <v>A3o</v>
      </c>
      <c r="C1046" t="str">
        <f t="shared" si="33"/>
        <v>AS 3D</v>
      </c>
      <c r="D1046" t="s">
        <v>20</v>
      </c>
      <c r="E1046" t="s">
        <v>62</v>
      </c>
      <c r="F1046">
        <v>268442665</v>
      </c>
      <c r="G1046">
        <v>147715</v>
      </c>
    </row>
    <row r="1047" spans="2:7" x14ac:dyDescent="0.3">
      <c r="B1047" t="str">
        <f t="shared" si="32"/>
        <v>A3o</v>
      </c>
      <c r="C1047" t="str">
        <f t="shared" si="33"/>
        <v>AS 3H</v>
      </c>
      <c r="D1047" t="s">
        <v>20</v>
      </c>
      <c r="E1047" t="s">
        <v>63</v>
      </c>
      <c r="F1047">
        <v>268442665</v>
      </c>
      <c r="G1047">
        <v>139523</v>
      </c>
    </row>
    <row r="1048" spans="2:7" x14ac:dyDescent="0.3">
      <c r="B1048" t="str">
        <f t="shared" si="32"/>
        <v>K3o</v>
      </c>
      <c r="C1048" t="str">
        <f t="shared" si="33"/>
        <v>KC 3D</v>
      </c>
      <c r="D1048" t="s">
        <v>21</v>
      </c>
      <c r="E1048" t="s">
        <v>62</v>
      </c>
      <c r="F1048">
        <v>134253349</v>
      </c>
      <c r="G1048">
        <v>147715</v>
      </c>
    </row>
    <row r="1049" spans="2:7" x14ac:dyDescent="0.3">
      <c r="B1049" t="str">
        <f t="shared" si="32"/>
        <v>K3o</v>
      </c>
      <c r="C1049" t="str">
        <f t="shared" si="33"/>
        <v>KC 3H</v>
      </c>
      <c r="D1049" t="s">
        <v>21</v>
      </c>
      <c r="E1049" t="s">
        <v>63</v>
      </c>
      <c r="F1049">
        <v>134253349</v>
      </c>
      <c r="G1049">
        <v>139523</v>
      </c>
    </row>
    <row r="1050" spans="2:7" x14ac:dyDescent="0.3">
      <c r="B1050" t="str">
        <f t="shared" si="32"/>
        <v>K3o</v>
      </c>
      <c r="C1050" t="str">
        <f t="shared" si="33"/>
        <v>KC 3S</v>
      </c>
      <c r="D1050" t="s">
        <v>21</v>
      </c>
      <c r="E1050" t="s">
        <v>64</v>
      </c>
      <c r="F1050">
        <v>134253349</v>
      </c>
      <c r="G1050">
        <v>135427</v>
      </c>
    </row>
    <row r="1051" spans="2:7" x14ac:dyDescent="0.3">
      <c r="B1051" t="str">
        <f t="shared" si="32"/>
        <v>K3o</v>
      </c>
      <c r="C1051" t="str">
        <f t="shared" si="33"/>
        <v>KD 3C</v>
      </c>
      <c r="D1051" t="s">
        <v>22</v>
      </c>
      <c r="E1051" t="s">
        <v>61</v>
      </c>
      <c r="F1051">
        <v>134236965</v>
      </c>
      <c r="G1051">
        <v>164099</v>
      </c>
    </row>
    <row r="1052" spans="2:7" x14ac:dyDescent="0.3">
      <c r="B1052" t="str">
        <f t="shared" si="32"/>
        <v>K3o</v>
      </c>
      <c r="C1052" t="str">
        <f t="shared" si="33"/>
        <v>KD 3H</v>
      </c>
      <c r="D1052" t="s">
        <v>22</v>
      </c>
      <c r="E1052" t="s">
        <v>63</v>
      </c>
      <c r="F1052">
        <v>134236965</v>
      </c>
      <c r="G1052">
        <v>139523</v>
      </c>
    </row>
    <row r="1053" spans="2:7" x14ac:dyDescent="0.3">
      <c r="B1053" t="str">
        <f t="shared" si="32"/>
        <v>K3o</v>
      </c>
      <c r="C1053" t="str">
        <f t="shared" si="33"/>
        <v>KD 3S</v>
      </c>
      <c r="D1053" t="s">
        <v>22</v>
      </c>
      <c r="E1053" t="s">
        <v>64</v>
      </c>
      <c r="F1053">
        <v>134236965</v>
      </c>
      <c r="G1053">
        <v>135427</v>
      </c>
    </row>
    <row r="1054" spans="2:7" x14ac:dyDescent="0.3">
      <c r="B1054" t="str">
        <f t="shared" si="32"/>
        <v>K3o</v>
      </c>
      <c r="C1054" t="str">
        <f t="shared" si="33"/>
        <v>KH 3C</v>
      </c>
      <c r="D1054" t="s">
        <v>23</v>
      </c>
      <c r="E1054" t="s">
        <v>61</v>
      </c>
      <c r="F1054">
        <v>134228773</v>
      </c>
      <c r="G1054">
        <v>164099</v>
      </c>
    </row>
    <row r="1055" spans="2:7" x14ac:dyDescent="0.3">
      <c r="B1055" t="str">
        <f t="shared" si="32"/>
        <v>K3o</v>
      </c>
      <c r="C1055" t="str">
        <f t="shared" si="33"/>
        <v>KH 3D</v>
      </c>
      <c r="D1055" t="s">
        <v>23</v>
      </c>
      <c r="E1055" t="s">
        <v>62</v>
      </c>
      <c r="F1055">
        <v>134228773</v>
      </c>
      <c r="G1055">
        <v>147715</v>
      </c>
    </row>
    <row r="1056" spans="2:7" x14ac:dyDescent="0.3">
      <c r="B1056" t="str">
        <f t="shared" si="32"/>
        <v>K3o</v>
      </c>
      <c r="C1056" t="str">
        <f t="shared" si="33"/>
        <v>KH 3S</v>
      </c>
      <c r="D1056" t="s">
        <v>23</v>
      </c>
      <c r="E1056" t="s">
        <v>64</v>
      </c>
      <c r="F1056">
        <v>134228773</v>
      </c>
      <c r="G1056">
        <v>135427</v>
      </c>
    </row>
    <row r="1057" spans="2:7" x14ac:dyDescent="0.3">
      <c r="B1057" t="str">
        <f t="shared" si="32"/>
        <v>K3o</v>
      </c>
      <c r="C1057" t="str">
        <f t="shared" si="33"/>
        <v>KS 3C</v>
      </c>
      <c r="D1057" t="s">
        <v>24</v>
      </c>
      <c r="E1057" t="s">
        <v>61</v>
      </c>
      <c r="F1057">
        <v>134224677</v>
      </c>
      <c r="G1057">
        <v>164099</v>
      </c>
    </row>
    <row r="1058" spans="2:7" x14ac:dyDescent="0.3">
      <c r="B1058" t="str">
        <f t="shared" si="32"/>
        <v>K3o</v>
      </c>
      <c r="C1058" t="str">
        <f t="shared" si="33"/>
        <v>KS 3D</v>
      </c>
      <c r="D1058" t="s">
        <v>24</v>
      </c>
      <c r="E1058" t="s">
        <v>62</v>
      </c>
      <c r="F1058">
        <v>134224677</v>
      </c>
      <c r="G1058">
        <v>147715</v>
      </c>
    </row>
    <row r="1059" spans="2:7" x14ac:dyDescent="0.3">
      <c r="B1059" t="str">
        <f t="shared" si="32"/>
        <v>K3o</v>
      </c>
      <c r="C1059" t="str">
        <f t="shared" si="33"/>
        <v>KS 3H</v>
      </c>
      <c r="D1059" t="s">
        <v>24</v>
      </c>
      <c r="E1059" t="s">
        <v>63</v>
      </c>
      <c r="F1059">
        <v>134224677</v>
      </c>
      <c r="G1059">
        <v>139523</v>
      </c>
    </row>
    <row r="1060" spans="2:7" x14ac:dyDescent="0.3">
      <c r="B1060" t="str">
        <f t="shared" si="32"/>
        <v>Q3o</v>
      </c>
      <c r="C1060" t="str">
        <f t="shared" si="33"/>
        <v>QC 3D</v>
      </c>
      <c r="D1060" t="s">
        <v>25</v>
      </c>
      <c r="E1060" t="s">
        <v>62</v>
      </c>
      <c r="F1060">
        <v>67144223</v>
      </c>
      <c r="G1060">
        <v>147715</v>
      </c>
    </row>
    <row r="1061" spans="2:7" x14ac:dyDescent="0.3">
      <c r="B1061" t="str">
        <f t="shared" si="32"/>
        <v>Q3o</v>
      </c>
      <c r="C1061" t="str">
        <f t="shared" si="33"/>
        <v>QC 3H</v>
      </c>
      <c r="D1061" t="s">
        <v>25</v>
      </c>
      <c r="E1061" t="s">
        <v>63</v>
      </c>
      <c r="F1061">
        <v>67144223</v>
      </c>
      <c r="G1061">
        <v>139523</v>
      </c>
    </row>
    <row r="1062" spans="2:7" x14ac:dyDescent="0.3">
      <c r="B1062" t="str">
        <f t="shared" si="32"/>
        <v>Q3o</v>
      </c>
      <c r="C1062" t="str">
        <f t="shared" si="33"/>
        <v>QC 3S</v>
      </c>
      <c r="D1062" t="s">
        <v>25</v>
      </c>
      <c r="E1062" t="s">
        <v>64</v>
      </c>
      <c r="F1062">
        <v>67144223</v>
      </c>
      <c r="G1062">
        <v>135427</v>
      </c>
    </row>
    <row r="1063" spans="2:7" x14ac:dyDescent="0.3">
      <c r="B1063" t="str">
        <f t="shared" si="32"/>
        <v>Q3o</v>
      </c>
      <c r="C1063" t="str">
        <f t="shared" si="33"/>
        <v>QD 3C</v>
      </c>
      <c r="D1063" t="s">
        <v>26</v>
      </c>
      <c r="E1063" t="s">
        <v>61</v>
      </c>
      <c r="F1063">
        <v>67127839</v>
      </c>
      <c r="G1063">
        <v>164099</v>
      </c>
    </row>
    <row r="1064" spans="2:7" x14ac:dyDescent="0.3">
      <c r="B1064" t="str">
        <f t="shared" si="32"/>
        <v>Q3o</v>
      </c>
      <c r="C1064" t="str">
        <f t="shared" si="33"/>
        <v>QD 3H</v>
      </c>
      <c r="D1064" t="s">
        <v>26</v>
      </c>
      <c r="E1064" t="s">
        <v>63</v>
      </c>
      <c r="F1064">
        <v>67127839</v>
      </c>
      <c r="G1064">
        <v>139523</v>
      </c>
    </row>
    <row r="1065" spans="2:7" x14ac:dyDescent="0.3">
      <c r="B1065" t="str">
        <f t="shared" si="32"/>
        <v>Q3o</v>
      </c>
      <c r="C1065" t="str">
        <f t="shared" si="33"/>
        <v>QD 3S</v>
      </c>
      <c r="D1065" t="s">
        <v>26</v>
      </c>
      <c r="E1065" t="s">
        <v>64</v>
      </c>
      <c r="F1065">
        <v>67127839</v>
      </c>
      <c r="G1065">
        <v>135427</v>
      </c>
    </row>
    <row r="1066" spans="2:7" x14ac:dyDescent="0.3">
      <c r="B1066" t="str">
        <f t="shared" si="32"/>
        <v>Q3o</v>
      </c>
      <c r="C1066" t="str">
        <f t="shared" si="33"/>
        <v>QH 3C</v>
      </c>
      <c r="D1066" t="s">
        <v>27</v>
      </c>
      <c r="E1066" t="s">
        <v>61</v>
      </c>
      <c r="F1066">
        <v>67119647</v>
      </c>
      <c r="G1066">
        <v>164099</v>
      </c>
    </row>
    <row r="1067" spans="2:7" x14ac:dyDescent="0.3">
      <c r="B1067" t="str">
        <f t="shared" si="32"/>
        <v>Q3o</v>
      </c>
      <c r="C1067" t="str">
        <f t="shared" si="33"/>
        <v>QH 3D</v>
      </c>
      <c r="D1067" t="s">
        <v>27</v>
      </c>
      <c r="E1067" t="s">
        <v>62</v>
      </c>
      <c r="F1067">
        <v>67119647</v>
      </c>
      <c r="G1067">
        <v>147715</v>
      </c>
    </row>
    <row r="1068" spans="2:7" x14ac:dyDescent="0.3">
      <c r="B1068" t="str">
        <f t="shared" si="32"/>
        <v>Q3o</v>
      </c>
      <c r="C1068" t="str">
        <f t="shared" si="33"/>
        <v>QH 3S</v>
      </c>
      <c r="D1068" t="s">
        <v>27</v>
      </c>
      <c r="E1068" t="s">
        <v>64</v>
      </c>
      <c r="F1068">
        <v>67119647</v>
      </c>
      <c r="G1068">
        <v>135427</v>
      </c>
    </row>
    <row r="1069" spans="2:7" x14ac:dyDescent="0.3">
      <c r="B1069" t="str">
        <f t="shared" si="32"/>
        <v>Q3o</v>
      </c>
      <c r="C1069" t="str">
        <f t="shared" si="33"/>
        <v>QS 3C</v>
      </c>
      <c r="D1069" t="s">
        <v>28</v>
      </c>
      <c r="E1069" t="s">
        <v>61</v>
      </c>
      <c r="F1069">
        <v>67115551</v>
      </c>
      <c r="G1069">
        <v>164099</v>
      </c>
    </row>
    <row r="1070" spans="2:7" x14ac:dyDescent="0.3">
      <c r="B1070" t="str">
        <f t="shared" si="32"/>
        <v>Q3o</v>
      </c>
      <c r="C1070" t="str">
        <f t="shared" si="33"/>
        <v>QS 3D</v>
      </c>
      <c r="D1070" t="s">
        <v>28</v>
      </c>
      <c r="E1070" t="s">
        <v>62</v>
      </c>
      <c r="F1070">
        <v>67115551</v>
      </c>
      <c r="G1070">
        <v>147715</v>
      </c>
    </row>
    <row r="1071" spans="2:7" x14ac:dyDescent="0.3">
      <c r="B1071" t="str">
        <f t="shared" si="32"/>
        <v>Q3o</v>
      </c>
      <c r="C1071" t="str">
        <f t="shared" si="33"/>
        <v>QS 3H</v>
      </c>
      <c r="D1071" t="s">
        <v>28</v>
      </c>
      <c r="E1071" t="s">
        <v>63</v>
      </c>
      <c r="F1071">
        <v>67115551</v>
      </c>
      <c r="G1071">
        <v>139523</v>
      </c>
    </row>
    <row r="1072" spans="2:7" x14ac:dyDescent="0.3">
      <c r="B1072" t="str">
        <f t="shared" si="32"/>
        <v>J3o</v>
      </c>
      <c r="C1072" t="str">
        <f t="shared" si="33"/>
        <v>JC 3D</v>
      </c>
      <c r="D1072" t="s">
        <v>29</v>
      </c>
      <c r="E1072" t="s">
        <v>62</v>
      </c>
      <c r="F1072">
        <v>33589533</v>
      </c>
      <c r="G1072">
        <v>147715</v>
      </c>
    </row>
    <row r="1073" spans="2:7" x14ac:dyDescent="0.3">
      <c r="B1073" t="str">
        <f t="shared" si="32"/>
        <v>J3o</v>
      </c>
      <c r="C1073" t="str">
        <f t="shared" si="33"/>
        <v>JC 3H</v>
      </c>
      <c r="D1073" t="s">
        <v>29</v>
      </c>
      <c r="E1073" t="s">
        <v>63</v>
      </c>
      <c r="F1073">
        <v>33589533</v>
      </c>
      <c r="G1073">
        <v>139523</v>
      </c>
    </row>
    <row r="1074" spans="2:7" x14ac:dyDescent="0.3">
      <c r="B1074" t="str">
        <f t="shared" si="32"/>
        <v>J3o</v>
      </c>
      <c r="C1074" t="str">
        <f t="shared" si="33"/>
        <v>JC 3S</v>
      </c>
      <c r="D1074" t="s">
        <v>29</v>
      </c>
      <c r="E1074" t="s">
        <v>64</v>
      </c>
      <c r="F1074">
        <v>33589533</v>
      </c>
      <c r="G1074">
        <v>135427</v>
      </c>
    </row>
    <row r="1075" spans="2:7" x14ac:dyDescent="0.3">
      <c r="B1075" t="str">
        <f t="shared" si="32"/>
        <v>J3o</v>
      </c>
      <c r="C1075" t="str">
        <f t="shared" si="33"/>
        <v>JD 3C</v>
      </c>
      <c r="D1075" t="s">
        <v>30</v>
      </c>
      <c r="E1075" t="s">
        <v>61</v>
      </c>
      <c r="F1075">
        <v>33573149</v>
      </c>
      <c r="G1075">
        <v>164099</v>
      </c>
    </row>
    <row r="1076" spans="2:7" x14ac:dyDescent="0.3">
      <c r="B1076" t="str">
        <f t="shared" si="32"/>
        <v>J3o</v>
      </c>
      <c r="C1076" t="str">
        <f t="shared" si="33"/>
        <v>JD 3H</v>
      </c>
      <c r="D1076" t="s">
        <v>30</v>
      </c>
      <c r="E1076" t="s">
        <v>63</v>
      </c>
      <c r="F1076">
        <v>33573149</v>
      </c>
      <c r="G1076">
        <v>139523</v>
      </c>
    </row>
    <row r="1077" spans="2:7" x14ac:dyDescent="0.3">
      <c r="B1077" t="str">
        <f t="shared" si="32"/>
        <v>J3o</v>
      </c>
      <c r="C1077" t="str">
        <f t="shared" si="33"/>
        <v>JD 3S</v>
      </c>
      <c r="D1077" t="s">
        <v>30</v>
      </c>
      <c r="E1077" t="s">
        <v>64</v>
      </c>
      <c r="F1077">
        <v>33573149</v>
      </c>
      <c r="G1077">
        <v>135427</v>
      </c>
    </row>
    <row r="1078" spans="2:7" x14ac:dyDescent="0.3">
      <c r="B1078" t="str">
        <f t="shared" si="32"/>
        <v>J3o</v>
      </c>
      <c r="C1078" t="str">
        <f t="shared" si="33"/>
        <v>JH 3C</v>
      </c>
      <c r="D1078" t="s">
        <v>31</v>
      </c>
      <c r="E1078" t="s">
        <v>61</v>
      </c>
      <c r="F1078">
        <v>33564957</v>
      </c>
      <c r="G1078">
        <v>164099</v>
      </c>
    </row>
    <row r="1079" spans="2:7" x14ac:dyDescent="0.3">
      <c r="B1079" t="str">
        <f t="shared" si="32"/>
        <v>J3o</v>
      </c>
      <c r="C1079" t="str">
        <f t="shared" si="33"/>
        <v>JH 3D</v>
      </c>
      <c r="D1079" t="s">
        <v>31</v>
      </c>
      <c r="E1079" t="s">
        <v>62</v>
      </c>
      <c r="F1079">
        <v>33564957</v>
      </c>
      <c r="G1079">
        <v>147715</v>
      </c>
    </row>
    <row r="1080" spans="2:7" x14ac:dyDescent="0.3">
      <c r="B1080" t="str">
        <f t="shared" si="32"/>
        <v>J3o</v>
      </c>
      <c r="C1080" t="str">
        <f t="shared" si="33"/>
        <v>JH 3S</v>
      </c>
      <c r="D1080" t="s">
        <v>31</v>
      </c>
      <c r="E1080" t="s">
        <v>64</v>
      </c>
      <c r="F1080">
        <v>33564957</v>
      </c>
      <c r="G1080">
        <v>135427</v>
      </c>
    </row>
    <row r="1081" spans="2:7" x14ac:dyDescent="0.3">
      <c r="B1081" t="str">
        <f t="shared" si="32"/>
        <v>J3o</v>
      </c>
      <c r="C1081" t="str">
        <f t="shared" si="33"/>
        <v>JS 3C</v>
      </c>
      <c r="D1081" t="s">
        <v>32</v>
      </c>
      <c r="E1081" t="s">
        <v>61</v>
      </c>
      <c r="F1081">
        <v>33560861</v>
      </c>
      <c r="G1081">
        <v>164099</v>
      </c>
    </row>
    <row r="1082" spans="2:7" x14ac:dyDescent="0.3">
      <c r="B1082" t="str">
        <f t="shared" si="32"/>
        <v>J3o</v>
      </c>
      <c r="C1082" t="str">
        <f t="shared" si="33"/>
        <v>JS 3D</v>
      </c>
      <c r="D1082" t="s">
        <v>32</v>
      </c>
      <c r="E1082" t="s">
        <v>62</v>
      </c>
      <c r="F1082">
        <v>33560861</v>
      </c>
      <c r="G1082">
        <v>147715</v>
      </c>
    </row>
    <row r="1083" spans="2:7" x14ac:dyDescent="0.3">
      <c r="B1083" t="str">
        <f t="shared" si="32"/>
        <v>J3o</v>
      </c>
      <c r="C1083" t="str">
        <f t="shared" si="33"/>
        <v>JS 3H</v>
      </c>
      <c r="D1083" t="s">
        <v>32</v>
      </c>
      <c r="E1083" t="s">
        <v>63</v>
      </c>
      <c r="F1083">
        <v>33560861</v>
      </c>
      <c r="G1083">
        <v>139523</v>
      </c>
    </row>
    <row r="1084" spans="2:7" x14ac:dyDescent="0.3">
      <c r="B1084" t="str">
        <f t="shared" si="32"/>
        <v>T3o</v>
      </c>
      <c r="C1084" t="str">
        <f t="shared" si="33"/>
        <v>TC 3D</v>
      </c>
      <c r="D1084" t="s">
        <v>33</v>
      </c>
      <c r="E1084" t="s">
        <v>62</v>
      </c>
      <c r="F1084">
        <v>16812055</v>
      </c>
      <c r="G1084">
        <v>147715</v>
      </c>
    </row>
    <row r="1085" spans="2:7" x14ac:dyDescent="0.3">
      <c r="B1085" t="str">
        <f t="shared" si="32"/>
        <v>T3o</v>
      </c>
      <c r="C1085" t="str">
        <f t="shared" si="33"/>
        <v>TC 3H</v>
      </c>
      <c r="D1085" t="s">
        <v>33</v>
      </c>
      <c r="E1085" t="s">
        <v>63</v>
      </c>
      <c r="F1085">
        <v>16812055</v>
      </c>
      <c r="G1085">
        <v>139523</v>
      </c>
    </row>
    <row r="1086" spans="2:7" x14ac:dyDescent="0.3">
      <c r="B1086" t="str">
        <f t="shared" si="32"/>
        <v>T3o</v>
      </c>
      <c r="C1086" t="str">
        <f t="shared" si="33"/>
        <v>TC 3S</v>
      </c>
      <c r="D1086" t="s">
        <v>33</v>
      </c>
      <c r="E1086" t="s">
        <v>64</v>
      </c>
      <c r="F1086">
        <v>16812055</v>
      </c>
      <c r="G1086">
        <v>135427</v>
      </c>
    </row>
    <row r="1087" spans="2:7" x14ac:dyDescent="0.3">
      <c r="B1087" t="str">
        <f t="shared" si="32"/>
        <v>T3o</v>
      </c>
      <c r="C1087" t="str">
        <f t="shared" si="33"/>
        <v>TD 3C</v>
      </c>
      <c r="D1087" t="s">
        <v>34</v>
      </c>
      <c r="E1087" t="s">
        <v>61</v>
      </c>
      <c r="F1087">
        <v>16795671</v>
      </c>
      <c r="G1087">
        <v>164099</v>
      </c>
    </row>
    <row r="1088" spans="2:7" x14ac:dyDescent="0.3">
      <c r="B1088" t="str">
        <f t="shared" si="32"/>
        <v>T3o</v>
      </c>
      <c r="C1088" t="str">
        <f t="shared" si="33"/>
        <v>TD 3H</v>
      </c>
      <c r="D1088" t="s">
        <v>34</v>
      </c>
      <c r="E1088" t="s">
        <v>63</v>
      </c>
      <c r="F1088">
        <v>16795671</v>
      </c>
      <c r="G1088">
        <v>139523</v>
      </c>
    </row>
    <row r="1089" spans="2:7" x14ac:dyDescent="0.3">
      <c r="B1089" t="str">
        <f t="shared" si="32"/>
        <v>T3o</v>
      </c>
      <c r="C1089" t="str">
        <f t="shared" si="33"/>
        <v>TD 3S</v>
      </c>
      <c r="D1089" t="s">
        <v>34</v>
      </c>
      <c r="E1089" t="s">
        <v>64</v>
      </c>
      <c r="F1089">
        <v>16795671</v>
      </c>
      <c r="G1089">
        <v>135427</v>
      </c>
    </row>
    <row r="1090" spans="2:7" x14ac:dyDescent="0.3">
      <c r="B1090" t="str">
        <f t="shared" si="32"/>
        <v>T3o</v>
      </c>
      <c r="C1090" t="str">
        <f t="shared" si="33"/>
        <v>TH 3C</v>
      </c>
      <c r="D1090" t="s">
        <v>35</v>
      </c>
      <c r="E1090" t="s">
        <v>61</v>
      </c>
      <c r="F1090">
        <v>16787479</v>
      </c>
      <c r="G1090">
        <v>164099</v>
      </c>
    </row>
    <row r="1091" spans="2:7" x14ac:dyDescent="0.3">
      <c r="B1091" t="str">
        <f t="shared" ref="B1091:B1154" si="34">LEFT(D1091,1)&amp;LEFT(E1091,1)&amp;IF(LEFT(D1091,1)=LEFT(E1091,1), "", IF(RIGHT(D1091,1)=RIGHT(E1091,1), "s", "o"))</f>
        <v>T3o</v>
      </c>
      <c r="C1091" t="str">
        <f t="shared" ref="C1091:C1154" si="35">UPPER(D1091&amp;" "&amp;E1091)</f>
        <v>TH 3D</v>
      </c>
      <c r="D1091" t="s">
        <v>35</v>
      </c>
      <c r="E1091" t="s">
        <v>62</v>
      </c>
      <c r="F1091">
        <v>16787479</v>
      </c>
      <c r="G1091">
        <v>147715</v>
      </c>
    </row>
    <row r="1092" spans="2:7" x14ac:dyDescent="0.3">
      <c r="B1092" t="str">
        <f t="shared" si="34"/>
        <v>T3o</v>
      </c>
      <c r="C1092" t="str">
        <f t="shared" si="35"/>
        <v>TH 3S</v>
      </c>
      <c r="D1092" t="s">
        <v>35</v>
      </c>
      <c r="E1092" t="s">
        <v>64</v>
      </c>
      <c r="F1092">
        <v>16787479</v>
      </c>
      <c r="G1092">
        <v>135427</v>
      </c>
    </row>
    <row r="1093" spans="2:7" x14ac:dyDescent="0.3">
      <c r="B1093" t="str">
        <f t="shared" si="34"/>
        <v>T3o</v>
      </c>
      <c r="C1093" t="str">
        <f t="shared" si="35"/>
        <v>TS 3C</v>
      </c>
      <c r="D1093" t="s">
        <v>36</v>
      </c>
      <c r="E1093" t="s">
        <v>61</v>
      </c>
      <c r="F1093">
        <v>16783383</v>
      </c>
      <c r="G1093">
        <v>164099</v>
      </c>
    </row>
    <row r="1094" spans="2:7" x14ac:dyDescent="0.3">
      <c r="B1094" t="str">
        <f t="shared" si="34"/>
        <v>T3o</v>
      </c>
      <c r="C1094" t="str">
        <f t="shared" si="35"/>
        <v>TS 3D</v>
      </c>
      <c r="D1094" t="s">
        <v>36</v>
      </c>
      <c r="E1094" t="s">
        <v>62</v>
      </c>
      <c r="F1094">
        <v>16783383</v>
      </c>
      <c r="G1094">
        <v>147715</v>
      </c>
    </row>
    <row r="1095" spans="2:7" x14ac:dyDescent="0.3">
      <c r="B1095" t="str">
        <f t="shared" si="34"/>
        <v>T3o</v>
      </c>
      <c r="C1095" t="str">
        <f t="shared" si="35"/>
        <v>TS 3H</v>
      </c>
      <c r="D1095" t="s">
        <v>36</v>
      </c>
      <c r="E1095" t="s">
        <v>63</v>
      </c>
      <c r="F1095">
        <v>16783383</v>
      </c>
      <c r="G1095">
        <v>139523</v>
      </c>
    </row>
    <row r="1096" spans="2:7" x14ac:dyDescent="0.3">
      <c r="B1096" t="str">
        <f t="shared" si="34"/>
        <v>93o</v>
      </c>
      <c r="C1096" t="str">
        <f t="shared" si="35"/>
        <v>9C 3D</v>
      </c>
      <c r="D1096" t="s">
        <v>37</v>
      </c>
      <c r="E1096" t="s">
        <v>62</v>
      </c>
      <c r="F1096">
        <v>8423187</v>
      </c>
      <c r="G1096">
        <v>147715</v>
      </c>
    </row>
    <row r="1097" spans="2:7" x14ac:dyDescent="0.3">
      <c r="B1097" t="str">
        <f t="shared" si="34"/>
        <v>93o</v>
      </c>
      <c r="C1097" t="str">
        <f t="shared" si="35"/>
        <v>9C 3H</v>
      </c>
      <c r="D1097" t="s">
        <v>37</v>
      </c>
      <c r="E1097" t="s">
        <v>63</v>
      </c>
      <c r="F1097">
        <v>8423187</v>
      </c>
      <c r="G1097">
        <v>139523</v>
      </c>
    </row>
    <row r="1098" spans="2:7" x14ac:dyDescent="0.3">
      <c r="B1098" t="str">
        <f t="shared" si="34"/>
        <v>93o</v>
      </c>
      <c r="C1098" t="str">
        <f t="shared" si="35"/>
        <v>9C 3S</v>
      </c>
      <c r="D1098" t="s">
        <v>37</v>
      </c>
      <c r="E1098" t="s">
        <v>64</v>
      </c>
      <c r="F1098">
        <v>8423187</v>
      </c>
      <c r="G1098">
        <v>135427</v>
      </c>
    </row>
    <row r="1099" spans="2:7" x14ac:dyDescent="0.3">
      <c r="B1099" t="str">
        <f t="shared" si="34"/>
        <v>93o</v>
      </c>
      <c r="C1099" t="str">
        <f t="shared" si="35"/>
        <v>9D 3C</v>
      </c>
      <c r="D1099" t="s">
        <v>38</v>
      </c>
      <c r="E1099" t="s">
        <v>61</v>
      </c>
      <c r="F1099">
        <v>8406803</v>
      </c>
      <c r="G1099">
        <v>164099</v>
      </c>
    </row>
    <row r="1100" spans="2:7" x14ac:dyDescent="0.3">
      <c r="B1100" t="str">
        <f t="shared" si="34"/>
        <v>93o</v>
      </c>
      <c r="C1100" t="str">
        <f t="shared" si="35"/>
        <v>9D 3H</v>
      </c>
      <c r="D1100" t="s">
        <v>38</v>
      </c>
      <c r="E1100" t="s">
        <v>63</v>
      </c>
      <c r="F1100">
        <v>8406803</v>
      </c>
      <c r="G1100">
        <v>139523</v>
      </c>
    </row>
    <row r="1101" spans="2:7" x14ac:dyDescent="0.3">
      <c r="B1101" t="str">
        <f t="shared" si="34"/>
        <v>93o</v>
      </c>
      <c r="C1101" t="str">
        <f t="shared" si="35"/>
        <v>9D 3S</v>
      </c>
      <c r="D1101" t="s">
        <v>38</v>
      </c>
      <c r="E1101" t="s">
        <v>64</v>
      </c>
      <c r="F1101">
        <v>8406803</v>
      </c>
      <c r="G1101">
        <v>135427</v>
      </c>
    </row>
    <row r="1102" spans="2:7" x14ac:dyDescent="0.3">
      <c r="B1102" t="str">
        <f t="shared" si="34"/>
        <v>93o</v>
      </c>
      <c r="C1102" t="str">
        <f t="shared" si="35"/>
        <v>9H 3C</v>
      </c>
      <c r="D1102" t="s">
        <v>39</v>
      </c>
      <c r="E1102" t="s">
        <v>61</v>
      </c>
      <c r="F1102">
        <v>8398611</v>
      </c>
      <c r="G1102">
        <v>164099</v>
      </c>
    </row>
    <row r="1103" spans="2:7" x14ac:dyDescent="0.3">
      <c r="B1103" t="str">
        <f t="shared" si="34"/>
        <v>93o</v>
      </c>
      <c r="C1103" t="str">
        <f t="shared" si="35"/>
        <v>9H 3D</v>
      </c>
      <c r="D1103" t="s">
        <v>39</v>
      </c>
      <c r="E1103" t="s">
        <v>62</v>
      </c>
      <c r="F1103">
        <v>8398611</v>
      </c>
      <c r="G1103">
        <v>147715</v>
      </c>
    </row>
    <row r="1104" spans="2:7" x14ac:dyDescent="0.3">
      <c r="B1104" t="str">
        <f t="shared" si="34"/>
        <v>93o</v>
      </c>
      <c r="C1104" t="str">
        <f t="shared" si="35"/>
        <v>9H 3S</v>
      </c>
      <c r="D1104" t="s">
        <v>39</v>
      </c>
      <c r="E1104" t="s">
        <v>64</v>
      </c>
      <c r="F1104">
        <v>8398611</v>
      </c>
      <c r="G1104">
        <v>135427</v>
      </c>
    </row>
    <row r="1105" spans="2:7" x14ac:dyDescent="0.3">
      <c r="B1105" t="str">
        <f t="shared" si="34"/>
        <v>93o</v>
      </c>
      <c r="C1105" t="str">
        <f t="shared" si="35"/>
        <v>9S 3C</v>
      </c>
      <c r="D1105" t="s">
        <v>40</v>
      </c>
      <c r="E1105" t="s">
        <v>61</v>
      </c>
      <c r="F1105">
        <v>8394515</v>
      </c>
      <c r="G1105">
        <v>164099</v>
      </c>
    </row>
    <row r="1106" spans="2:7" x14ac:dyDescent="0.3">
      <c r="B1106" t="str">
        <f t="shared" si="34"/>
        <v>93o</v>
      </c>
      <c r="C1106" t="str">
        <f t="shared" si="35"/>
        <v>9S 3D</v>
      </c>
      <c r="D1106" t="s">
        <v>40</v>
      </c>
      <c r="E1106" t="s">
        <v>62</v>
      </c>
      <c r="F1106">
        <v>8394515</v>
      </c>
      <c r="G1106">
        <v>147715</v>
      </c>
    </row>
    <row r="1107" spans="2:7" x14ac:dyDescent="0.3">
      <c r="B1107" t="str">
        <f t="shared" si="34"/>
        <v>93o</v>
      </c>
      <c r="C1107" t="str">
        <f t="shared" si="35"/>
        <v>9S 3H</v>
      </c>
      <c r="D1107" t="s">
        <v>40</v>
      </c>
      <c r="E1107" t="s">
        <v>63</v>
      </c>
      <c r="F1107">
        <v>8394515</v>
      </c>
      <c r="G1107">
        <v>139523</v>
      </c>
    </row>
    <row r="1108" spans="2:7" x14ac:dyDescent="0.3">
      <c r="B1108" t="str">
        <f t="shared" si="34"/>
        <v>83o</v>
      </c>
      <c r="C1108" t="str">
        <f t="shared" si="35"/>
        <v>8C 3D</v>
      </c>
      <c r="D1108" t="s">
        <v>41</v>
      </c>
      <c r="E1108" t="s">
        <v>62</v>
      </c>
      <c r="F1108">
        <v>4228625</v>
      </c>
      <c r="G1108">
        <v>147715</v>
      </c>
    </row>
    <row r="1109" spans="2:7" x14ac:dyDescent="0.3">
      <c r="B1109" t="str">
        <f t="shared" si="34"/>
        <v>83o</v>
      </c>
      <c r="C1109" t="str">
        <f t="shared" si="35"/>
        <v>8C 3H</v>
      </c>
      <c r="D1109" t="s">
        <v>41</v>
      </c>
      <c r="E1109" t="s">
        <v>63</v>
      </c>
      <c r="F1109">
        <v>4228625</v>
      </c>
      <c r="G1109">
        <v>139523</v>
      </c>
    </row>
    <row r="1110" spans="2:7" x14ac:dyDescent="0.3">
      <c r="B1110" t="str">
        <f t="shared" si="34"/>
        <v>83o</v>
      </c>
      <c r="C1110" t="str">
        <f t="shared" si="35"/>
        <v>8C 3S</v>
      </c>
      <c r="D1110" t="s">
        <v>41</v>
      </c>
      <c r="E1110" t="s">
        <v>64</v>
      </c>
      <c r="F1110">
        <v>4228625</v>
      </c>
      <c r="G1110">
        <v>135427</v>
      </c>
    </row>
    <row r="1111" spans="2:7" x14ac:dyDescent="0.3">
      <c r="B1111" t="str">
        <f t="shared" si="34"/>
        <v>83o</v>
      </c>
      <c r="C1111" t="str">
        <f t="shared" si="35"/>
        <v>8D 3C</v>
      </c>
      <c r="D1111" t="s">
        <v>42</v>
      </c>
      <c r="E1111" t="s">
        <v>61</v>
      </c>
      <c r="F1111">
        <v>4212241</v>
      </c>
      <c r="G1111">
        <v>164099</v>
      </c>
    </row>
    <row r="1112" spans="2:7" x14ac:dyDescent="0.3">
      <c r="B1112" t="str">
        <f t="shared" si="34"/>
        <v>83o</v>
      </c>
      <c r="C1112" t="str">
        <f t="shared" si="35"/>
        <v>8D 3H</v>
      </c>
      <c r="D1112" t="s">
        <v>42</v>
      </c>
      <c r="E1112" t="s">
        <v>63</v>
      </c>
      <c r="F1112">
        <v>4212241</v>
      </c>
      <c r="G1112">
        <v>139523</v>
      </c>
    </row>
    <row r="1113" spans="2:7" x14ac:dyDescent="0.3">
      <c r="B1113" t="str">
        <f t="shared" si="34"/>
        <v>83o</v>
      </c>
      <c r="C1113" t="str">
        <f t="shared" si="35"/>
        <v>8D 3S</v>
      </c>
      <c r="D1113" t="s">
        <v>42</v>
      </c>
      <c r="E1113" t="s">
        <v>64</v>
      </c>
      <c r="F1113">
        <v>4212241</v>
      </c>
      <c r="G1113">
        <v>135427</v>
      </c>
    </row>
    <row r="1114" spans="2:7" x14ac:dyDescent="0.3">
      <c r="B1114" t="str">
        <f t="shared" si="34"/>
        <v>83o</v>
      </c>
      <c r="C1114" t="str">
        <f t="shared" si="35"/>
        <v>8H 3C</v>
      </c>
      <c r="D1114" t="s">
        <v>43</v>
      </c>
      <c r="E1114" t="s">
        <v>61</v>
      </c>
      <c r="F1114">
        <v>4204049</v>
      </c>
      <c r="G1114">
        <v>164099</v>
      </c>
    </row>
    <row r="1115" spans="2:7" x14ac:dyDescent="0.3">
      <c r="B1115" t="str">
        <f t="shared" si="34"/>
        <v>83o</v>
      </c>
      <c r="C1115" t="str">
        <f t="shared" si="35"/>
        <v>8H 3D</v>
      </c>
      <c r="D1115" t="s">
        <v>43</v>
      </c>
      <c r="E1115" t="s">
        <v>62</v>
      </c>
      <c r="F1115">
        <v>4204049</v>
      </c>
      <c r="G1115">
        <v>147715</v>
      </c>
    </row>
    <row r="1116" spans="2:7" x14ac:dyDescent="0.3">
      <c r="B1116" t="str">
        <f t="shared" si="34"/>
        <v>83o</v>
      </c>
      <c r="C1116" t="str">
        <f t="shared" si="35"/>
        <v>8H 3S</v>
      </c>
      <c r="D1116" t="s">
        <v>43</v>
      </c>
      <c r="E1116" t="s">
        <v>64</v>
      </c>
      <c r="F1116">
        <v>4204049</v>
      </c>
      <c r="G1116">
        <v>135427</v>
      </c>
    </row>
    <row r="1117" spans="2:7" x14ac:dyDescent="0.3">
      <c r="B1117" t="str">
        <f t="shared" si="34"/>
        <v>83o</v>
      </c>
      <c r="C1117" t="str">
        <f t="shared" si="35"/>
        <v>8S 3C</v>
      </c>
      <c r="D1117" t="s">
        <v>44</v>
      </c>
      <c r="E1117" t="s">
        <v>61</v>
      </c>
      <c r="F1117">
        <v>4199953</v>
      </c>
      <c r="G1117">
        <v>164099</v>
      </c>
    </row>
    <row r="1118" spans="2:7" x14ac:dyDescent="0.3">
      <c r="B1118" t="str">
        <f t="shared" si="34"/>
        <v>83o</v>
      </c>
      <c r="C1118" t="str">
        <f t="shared" si="35"/>
        <v>8S 3D</v>
      </c>
      <c r="D1118" t="s">
        <v>44</v>
      </c>
      <c r="E1118" t="s">
        <v>62</v>
      </c>
      <c r="F1118">
        <v>4199953</v>
      </c>
      <c r="G1118">
        <v>147715</v>
      </c>
    </row>
    <row r="1119" spans="2:7" x14ac:dyDescent="0.3">
      <c r="B1119" t="str">
        <f t="shared" si="34"/>
        <v>83o</v>
      </c>
      <c r="C1119" t="str">
        <f t="shared" si="35"/>
        <v>8S 3H</v>
      </c>
      <c r="D1119" t="s">
        <v>44</v>
      </c>
      <c r="E1119" t="s">
        <v>63</v>
      </c>
      <c r="F1119">
        <v>4199953</v>
      </c>
      <c r="G1119">
        <v>139523</v>
      </c>
    </row>
    <row r="1120" spans="2:7" x14ac:dyDescent="0.3">
      <c r="B1120" t="str">
        <f t="shared" si="34"/>
        <v>73o</v>
      </c>
      <c r="C1120" t="str">
        <f t="shared" si="35"/>
        <v>7C 3D</v>
      </c>
      <c r="D1120" t="s">
        <v>45</v>
      </c>
      <c r="E1120" t="s">
        <v>62</v>
      </c>
      <c r="F1120">
        <v>2131213</v>
      </c>
      <c r="G1120">
        <v>147715</v>
      </c>
    </row>
    <row r="1121" spans="2:7" x14ac:dyDescent="0.3">
      <c r="B1121" t="str">
        <f t="shared" si="34"/>
        <v>73o</v>
      </c>
      <c r="C1121" t="str">
        <f t="shared" si="35"/>
        <v>7C 3H</v>
      </c>
      <c r="D1121" t="s">
        <v>45</v>
      </c>
      <c r="E1121" t="s">
        <v>63</v>
      </c>
      <c r="F1121">
        <v>2131213</v>
      </c>
      <c r="G1121">
        <v>139523</v>
      </c>
    </row>
    <row r="1122" spans="2:7" x14ac:dyDescent="0.3">
      <c r="B1122" t="str">
        <f t="shared" si="34"/>
        <v>73o</v>
      </c>
      <c r="C1122" t="str">
        <f t="shared" si="35"/>
        <v>7C 3S</v>
      </c>
      <c r="D1122" t="s">
        <v>45</v>
      </c>
      <c r="E1122" t="s">
        <v>64</v>
      </c>
      <c r="F1122">
        <v>2131213</v>
      </c>
      <c r="G1122">
        <v>135427</v>
      </c>
    </row>
    <row r="1123" spans="2:7" x14ac:dyDescent="0.3">
      <c r="B1123" t="str">
        <f t="shared" si="34"/>
        <v>73o</v>
      </c>
      <c r="C1123" t="str">
        <f t="shared" si="35"/>
        <v>7D 3C</v>
      </c>
      <c r="D1123" t="s">
        <v>46</v>
      </c>
      <c r="E1123" t="s">
        <v>61</v>
      </c>
      <c r="F1123">
        <v>2114829</v>
      </c>
      <c r="G1123">
        <v>164099</v>
      </c>
    </row>
    <row r="1124" spans="2:7" x14ac:dyDescent="0.3">
      <c r="B1124" t="str">
        <f t="shared" si="34"/>
        <v>73o</v>
      </c>
      <c r="C1124" t="str">
        <f t="shared" si="35"/>
        <v>7D 3H</v>
      </c>
      <c r="D1124" t="s">
        <v>46</v>
      </c>
      <c r="E1124" t="s">
        <v>63</v>
      </c>
      <c r="F1124">
        <v>2114829</v>
      </c>
      <c r="G1124">
        <v>139523</v>
      </c>
    </row>
    <row r="1125" spans="2:7" x14ac:dyDescent="0.3">
      <c r="B1125" t="str">
        <f t="shared" si="34"/>
        <v>73o</v>
      </c>
      <c r="C1125" t="str">
        <f t="shared" si="35"/>
        <v>7D 3S</v>
      </c>
      <c r="D1125" t="s">
        <v>46</v>
      </c>
      <c r="E1125" t="s">
        <v>64</v>
      </c>
      <c r="F1125">
        <v>2114829</v>
      </c>
      <c r="G1125">
        <v>135427</v>
      </c>
    </row>
    <row r="1126" spans="2:7" x14ac:dyDescent="0.3">
      <c r="B1126" t="str">
        <f t="shared" si="34"/>
        <v>73o</v>
      </c>
      <c r="C1126" t="str">
        <f t="shared" si="35"/>
        <v>7H 3C</v>
      </c>
      <c r="D1126" t="s">
        <v>47</v>
      </c>
      <c r="E1126" t="s">
        <v>61</v>
      </c>
      <c r="F1126">
        <v>2106637</v>
      </c>
      <c r="G1126">
        <v>164099</v>
      </c>
    </row>
    <row r="1127" spans="2:7" x14ac:dyDescent="0.3">
      <c r="B1127" t="str">
        <f t="shared" si="34"/>
        <v>73o</v>
      </c>
      <c r="C1127" t="str">
        <f t="shared" si="35"/>
        <v>7H 3D</v>
      </c>
      <c r="D1127" t="s">
        <v>47</v>
      </c>
      <c r="E1127" t="s">
        <v>62</v>
      </c>
      <c r="F1127">
        <v>2106637</v>
      </c>
      <c r="G1127">
        <v>147715</v>
      </c>
    </row>
    <row r="1128" spans="2:7" x14ac:dyDescent="0.3">
      <c r="B1128" t="str">
        <f t="shared" si="34"/>
        <v>73o</v>
      </c>
      <c r="C1128" t="str">
        <f t="shared" si="35"/>
        <v>7H 3S</v>
      </c>
      <c r="D1128" t="s">
        <v>47</v>
      </c>
      <c r="E1128" t="s">
        <v>64</v>
      </c>
      <c r="F1128">
        <v>2106637</v>
      </c>
      <c r="G1128">
        <v>135427</v>
      </c>
    </row>
    <row r="1129" spans="2:7" x14ac:dyDescent="0.3">
      <c r="B1129" t="str">
        <f t="shared" si="34"/>
        <v>73o</v>
      </c>
      <c r="C1129" t="str">
        <f t="shared" si="35"/>
        <v>7S 3C</v>
      </c>
      <c r="D1129" t="s">
        <v>48</v>
      </c>
      <c r="E1129" t="s">
        <v>61</v>
      </c>
      <c r="F1129">
        <v>2102541</v>
      </c>
      <c r="G1129">
        <v>164099</v>
      </c>
    </row>
    <row r="1130" spans="2:7" x14ac:dyDescent="0.3">
      <c r="B1130" t="str">
        <f t="shared" si="34"/>
        <v>73o</v>
      </c>
      <c r="C1130" t="str">
        <f t="shared" si="35"/>
        <v>7S 3D</v>
      </c>
      <c r="D1130" t="s">
        <v>48</v>
      </c>
      <c r="E1130" t="s">
        <v>62</v>
      </c>
      <c r="F1130">
        <v>2102541</v>
      </c>
      <c r="G1130">
        <v>147715</v>
      </c>
    </row>
    <row r="1131" spans="2:7" x14ac:dyDescent="0.3">
      <c r="B1131" t="str">
        <f t="shared" si="34"/>
        <v>73o</v>
      </c>
      <c r="C1131" t="str">
        <f t="shared" si="35"/>
        <v>7S 3H</v>
      </c>
      <c r="D1131" t="s">
        <v>48</v>
      </c>
      <c r="E1131" t="s">
        <v>63</v>
      </c>
      <c r="F1131">
        <v>2102541</v>
      </c>
      <c r="G1131">
        <v>139523</v>
      </c>
    </row>
    <row r="1132" spans="2:7" x14ac:dyDescent="0.3">
      <c r="B1132" t="str">
        <f t="shared" si="34"/>
        <v>63o</v>
      </c>
      <c r="C1132" t="str">
        <f t="shared" si="35"/>
        <v>6C 3D</v>
      </c>
      <c r="D1132" t="s">
        <v>49</v>
      </c>
      <c r="E1132" t="s">
        <v>62</v>
      </c>
      <c r="F1132">
        <v>1082379</v>
      </c>
      <c r="G1132">
        <v>147715</v>
      </c>
    </row>
    <row r="1133" spans="2:7" x14ac:dyDescent="0.3">
      <c r="B1133" t="str">
        <f t="shared" si="34"/>
        <v>63o</v>
      </c>
      <c r="C1133" t="str">
        <f t="shared" si="35"/>
        <v>6C 3H</v>
      </c>
      <c r="D1133" t="s">
        <v>49</v>
      </c>
      <c r="E1133" t="s">
        <v>63</v>
      </c>
      <c r="F1133">
        <v>1082379</v>
      </c>
      <c r="G1133">
        <v>139523</v>
      </c>
    </row>
    <row r="1134" spans="2:7" x14ac:dyDescent="0.3">
      <c r="B1134" t="str">
        <f t="shared" si="34"/>
        <v>63o</v>
      </c>
      <c r="C1134" t="str">
        <f t="shared" si="35"/>
        <v>6C 3S</v>
      </c>
      <c r="D1134" t="s">
        <v>49</v>
      </c>
      <c r="E1134" t="s">
        <v>64</v>
      </c>
      <c r="F1134">
        <v>1082379</v>
      </c>
      <c r="G1134">
        <v>135427</v>
      </c>
    </row>
    <row r="1135" spans="2:7" x14ac:dyDescent="0.3">
      <c r="B1135" t="str">
        <f t="shared" si="34"/>
        <v>63o</v>
      </c>
      <c r="C1135" t="str">
        <f t="shared" si="35"/>
        <v>6D 3C</v>
      </c>
      <c r="D1135" t="s">
        <v>50</v>
      </c>
      <c r="E1135" t="s">
        <v>61</v>
      </c>
      <c r="F1135">
        <v>1065995</v>
      </c>
      <c r="G1135">
        <v>164099</v>
      </c>
    </row>
    <row r="1136" spans="2:7" x14ac:dyDescent="0.3">
      <c r="B1136" t="str">
        <f t="shared" si="34"/>
        <v>63o</v>
      </c>
      <c r="C1136" t="str">
        <f t="shared" si="35"/>
        <v>6D 3H</v>
      </c>
      <c r="D1136" t="s">
        <v>50</v>
      </c>
      <c r="E1136" t="s">
        <v>63</v>
      </c>
      <c r="F1136">
        <v>1065995</v>
      </c>
      <c r="G1136">
        <v>139523</v>
      </c>
    </row>
    <row r="1137" spans="2:7" x14ac:dyDescent="0.3">
      <c r="B1137" t="str">
        <f t="shared" si="34"/>
        <v>63o</v>
      </c>
      <c r="C1137" t="str">
        <f t="shared" si="35"/>
        <v>6D 3S</v>
      </c>
      <c r="D1137" t="s">
        <v>50</v>
      </c>
      <c r="E1137" t="s">
        <v>64</v>
      </c>
      <c r="F1137">
        <v>1065995</v>
      </c>
      <c r="G1137">
        <v>135427</v>
      </c>
    </row>
    <row r="1138" spans="2:7" x14ac:dyDescent="0.3">
      <c r="B1138" t="str">
        <f t="shared" si="34"/>
        <v>63o</v>
      </c>
      <c r="C1138" t="str">
        <f t="shared" si="35"/>
        <v>6H 3C</v>
      </c>
      <c r="D1138" t="s">
        <v>51</v>
      </c>
      <c r="E1138" t="s">
        <v>61</v>
      </c>
      <c r="F1138">
        <v>1057803</v>
      </c>
      <c r="G1138">
        <v>164099</v>
      </c>
    </row>
    <row r="1139" spans="2:7" x14ac:dyDescent="0.3">
      <c r="B1139" t="str">
        <f t="shared" si="34"/>
        <v>63o</v>
      </c>
      <c r="C1139" t="str">
        <f t="shared" si="35"/>
        <v>6H 3D</v>
      </c>
      <c r="D1139" t="s">
        <v>51</v>
      </c>
      <c r="E1139" t="s">
        <v>62</v>
      </c>
      <c r="F1139">
        <v>1057803</v>
      </c>
      <c r="G1139">
        <v>147715</v>
      </c>
    </row>
    <row r="1140" spans="2:7" x14ac:dyDescent="0.3">
      <c r="B1140" t="str">
        <f t="shared" si="34"/>
        <v>63o</v>
      </c>
      <c r="C1140" t="str">
        <f t="shared" si="35"/>
        <v>6H 3S</v>
      </c>
      <c r="D1140" t="s">
        <v>51</v>
      </c>
      <c r="E1140" t="s">
        <v>64</v>
      </c>
      <c r="F1140">
        <v>1057803</v>
      </c>
      <c r="G1140">
        <v>135427</v>
      </c>
    </row>
    <row r="1141" spans="2:7" x14ac:dyDescent="0.3">
      <c r="B1141" t="str">
        <f t="shared" si="34"/>
        <v>63o</v>
      </c>
      <c r="C1141" t="str">
        <f t="shared" si="35"/>
        <v>6S 3C</v>
      </c>
      <c r="D1141" t="s">
        <v>52</v>
      </c>
      <c r="E1141" t="s">
        <v>61</v>
      </c>
      <c r="F1141">
        <v>1053707</v>
      </c>
      <c r="G1141">
        <v>164099</v>
      </c>
    </row>
    <row r="1142" spans="2:7" x14ac:dyDescent="0.3">
      <c r="B1142" t="str">
        <f t="shared" si="34"/>
        <v>63o</v>
      </c>
      <c r="C1142" t="str">
        <f t="shared" si="35"/>
        <v>6S 3D</v>
      </c>
      <c r="D1142" t="s">
        <v>52</v>
      </c>
      <c r="E1142" t="s">
        <v>62</v>
      </c>
      <c r="F1142">
        <v>1053707</v>
      </c>
      <c r="G1142">
        <v>147715</v>
      </c>
    </row>
    <row r="1143" spans="2:7" x14ac:dyDescent="0.3">
      <c r="B1143" t="str">
        <f t="shared" si="34"/>
        <v>63o</v>
      </c>
      <c r="C1143" t="str">
        <f t="shared" si="35"/>
        <v>6S 3H</v>
      </c>
      <c r="D1143" t="s">
        <v>52</v>
      </c>
      <c r="E1143" t="s">
        <v>63</v>
      </c>
      <c r="F1143">
        <v>1053707</v>
      </c>
      <c r="G1143">
        <v>139523</v>
      </c>
    </row>
    <row r="1144" spans="2:7" x14ac:dyDescent="0.3">
      <c r="B1144" t="str">
        <f t="shared" si="34"/>
        <v>53o</v>
      </c>
      <c r="C1144" t="str">
        <f t="shared" si="35"/>
        <v>5C 3D</v>
      </c>
      <c r="D1144" t="s">
        <v>53</v>
      </c>
      <c r="E1144" t="s">
        <v>62</v>
      </c>
      <c r="F1144">
        <v>557831</v>
      </c>
      <c r="G1144">
        <v>147715</v>
      </c>
    </row>
    <row r="1145" spans="2:7" x14ac:dyDescent="0.3">
      <c r="B1145" t="str">
        <f t="shared" si="34"/>
        <v>53o</v>
      </c>
      <c r="C1145" t="str">
        <f t="shared" si="35"/>
        <v>5C 3H</v>
      </c>
      <c r="D1145" t="s">
        <v>53</v>
      </c>
      <c r="E1145" t="s">
        <v>63</v>
      </c>
      <c r="F1145">
        <v>557831</v>
      </c>
      <c r="G1145">
        <v>139523</v>
      </c>
    </row>
    <row r="1146" spans="2:7" x14ac:dyDescent="0.3">
      <c r="B1146" t="str">
        <f t="shared" si="34"/>
        <v>53o</v>
      </c>
      <c r="C1146" t="str">
        <f t="shared" si="35"/>
        <v>5C 3S</v>
      </c>
      <c r="D1146" t="s">
        <v>53</v>
      </c>
      <c r="E1146" t="s">
        <v>64</v>
      </c>
      <c r="F1146">
        <v>557831</v>
      </c>
      <c r="G1146">
        <v>135427</v>
      </c>
    </row>
    <row r="1147" spans="2:7" x14ac:dyDescent="0.3">
      <c r="B1147" t="str">
        <f t="shared" si="34"/>
        <v>53o</v>
      </c>
      <c r="C1147" t="str">
        <f t="shared" si="35"/>
        <v>5D 3C</v>
      </c>
      <c r="D1147" t="s">
        <v>54</v>
      </c>
      <c r="E1147" t="s">
        <v>61</v>
      </c>
      <c r="F1147">
        <v>541447</v>
      </c>
      <c r="G1147">
        <v>164099</v>
      </c>
    </row>
    <row r="1148" spans="2:7" x14ac:dyDescent="0.3">
      <c r="B1148" t="str">
        <f t="shared" si="34"/>
        <v>53o</v>
      </c>
      <c r="C1148" t="str">
        <f t="shared" si="35"/>
        <v>5D 3H</v>
      </c>
      <c r="D1148" t="s">
        <v>54</v>
      </c>
      <c r="E1148" t="s">
        <v>63</v>
      </c>
      <c r="F1148">
        <v>541447</v>
      </c>
      <c r="G1148">
        <v>139523</v>
      </c>
    </row>
    <row r="1149" spans="2:7" x14ac:dyDescent="0.3">
      <c r="B1149" t="str">
        <f t="shared" si="34"/>
        <v>53o</v>
      </c>
      <c r="C1149" t="str">
        <f t="shared" si="35"/>
        <v>5D 3S</v>
      </c>
      <c r="D1149" t="s">
        <v>54</v>
      </c>
      <c r="E1149" t="s">
        <v>64</v>
      </c>
      <c r="F1149">
        <v>541447</v>
      </c>
      <c r="G1149">
        <v>135427</v>
      </c>
    </row>
    <row r="1150" spans="2:7" x14ac:dyDescent="0.3">
      <c r="B1150" t="str">
        <f t="shared" si="34"/>
        <v>53o</v>
      </c>
      <c r="C1150" t="str">
        <f t="shared" si="35"/>
        <v>5H 3C</v>
      </c>
      <c r="D1150" t="s">
        <v>55</v>
      </c>
      <c r="E1150" t="s">
        <v>61</v>
      </c>
      <c r="F1150">
        <v>533255</v>
      </c>
      <c r="G1150">
        <v>164099</v>
      </c>
    </row>
    <row r="1151" spans="2:7" x14ac:dyDescent="0.3">
      <c r="B1151" t="str">
        <f t="shared" si="34"/>
        <v>53o</v>
      </c>
      <c r="C1151" t="str">
        <f t="shared" si="35"/>
        <v>5H 3D</v>
      </c>
      <c r="D1151" t="s">
        <v>55</v>
      </c>
      <c r="E1151" t="s">
        <v>62</v>
      </c>
      <c r="F1151">
        <v>533255</v>
      </c>
      <c r="G1151">
        <v>147715</v>
      </c>
    </row>
    <row r="1152" spans="2:7" x14ac:dyDescent="0.3">
      <c r="B1152" t="str">
        <f t="shared" si="34"/>
        <v>53o</v>
      </c>
      <c r="C1152" t="str">
        <f t="shared" si="35"/>
        <v>5H 3S</v>
      </c>
      <c r="D1152" t="s">
        <v>55</v>
      </c>
      <c r="E1152" t="s">
        <v>64</v>
      </c>
      <c r="F1152">
        <v>533255</v>
      </c>
      <c r="G1152">
        <v>135427</v>
      </c>
    </row>
    <row r="1153" spans="2:7" x14ac:dyDescent="0.3">
      <c r="B1153" t="str">
        <f t="shared" si="34"/>
        <v>53o</v>
      </c>
      <c r="C1153" t="str">
        <f t="shared" si="35"/>
        <v>5S 3C</v>
      </c>
      <c r="D1153" t="s">
        <v>56</v>
      </c>
      <c r="E1153" t="s">
        <v>61</v>
      </c>
      <c r="F1153">
        <v>529159</v>
      </c>
      <c r="G1153">
        <v>164099</v>
      </c>
    </row>
    <row r="1154" spans="2:7" x14ac:dyDescent="0.3">
      <c r="B1154" t="str">
        <f t="shared" si="34"/>
        <v>53o</v>
      </c>
      <c r="C1154" t="str">
        <f t="shared" si="35"/>
        <v>5S 3D</v>
      </c>
      <c r="D1154" t="s">
        <v>56</v>
      </c>
      <c r="E1154" t="s">
        <v>62</v>
      </c>
      <c r="F1154">
        <v>529159</v>
      </c>
      <c r="G1154">
        <v>147715</v>
      </c>
    </row>
    <row r="1155" spans="2:7" x14ac:dyDescent="0.3">
      <c r="B1155" t="str">
        <f t="shared" ref="B1155:B1218" si="36">LEFT(D1155,1)&amp;LEFT(E1155,1)&amp;IF(LEFT(D1155,1)=LEFT(E1155,1), "", IF(RIGHT(D1155,1)=RIGHT(E1155,1), "s", "o"))</f>
        <v>53o</v>
      </c>
      <c r="C1155" t="str">
        <f t="shared" ref="C1155:C1218" si="37">UPPER(D1155&amp;" "&amp;E1155)</f>
        <v>5S 3H</v>
      </c>
      <c r="D1155" t="s">
        <v>56</v>
      </c>
      <c r="E1155" t="s">
        <v>63</v>
      </c>
      <c r="F1155">
        <v>529159</v>
      </c>
      <c r="G1155">
        <v>139523</v>
      </c>
    </row>
    <row r="1156" spans="2:7" x14ac:dyDescent="0.3">
      <c r="B1156" t="str">
        <f t="shared" si="36"/>
        <v>43o</v>
      </c>
      <c r="C1156" t="str">
        <f t="shared" si="37"/>
        <v>4C 3D</v>
      </c>
      <c r="D1156" t="s">
        <v>57</v>
      </c>
      <c r="E1156" t="s">
        <v>62</v>
      </c>
      <c r="F1156">
        <v>295429</v>
      </c>
      <c r="G1156">
        <v>147715</v>
      </c>
    </row>
    <row r="1157" spans="2:7" x14ac:dyDescent="0.3">
      <c r="B1157" t="str">
        <f t="shared" si="36"/>
        <v>43o</v>
      </c>
      <c r="C1157" t="str">
        <f t="shared" si="37"/>
        <v>4C 3H</v>
      </c>
      <c r="D1157" t="s">
        <v>57</v>
      </c>
      <c r="E1157" t="s">
        <v>63</v>
      </c>
      <c r="F1157">
        <v>295429</v>
      </c>
      <c r="G1157">
        <v>139523</v>
      </c>
    </row>
    <row r="1158" spans="2:7" x14ac:dyDescent="0.3">
      <c r="B1158" t="str">
        <f t="shared" si="36"/>
        <v>43o</v>
      </c>
      <c r="C1158" t="str">
        <f t="shared" si="37"/>
        <v>4C 3S</v>
      </c>
      <c r="D1158" t="s">
        <v>57</v>
      </c>
      <c r="E1158" t="s">
        <v>64</v>
      </c>
      <c r="F1158">
        <v>295429</v>
      </c>
      <c r="G1158">
        <v>135427</v>
      </c>
    </row>
    <row r="1159" spans="2:7" x14ac:dyDescent="0.3">
      <c r="B1159" t="str">
        <f t="shared" si="36"/>
        <v>43o</v>
      </c>
      <c r="C1159" t="str">
        <f t="shared" si="37"/>
        <v>4D 3C</v>
      </c>
      <c r="D1159" t="s">
        <v>58</v>
      </c>
      <c r="E1159" t="s">
        <v>61</v>
      </c>
      <c r="F1159">
        <v>279045</v>
      </c>
      <c r="G1159">
        <v>164099</v>
      </c>
    </row>
    <row r="1160" spans="2:7" x14ac:dyDescent="0.3">
      <c r="B1160" t="str">
        <f t="shared" si="36"/>
        <v>43o</v>
      </c>
      <c r="C1160" t="str">
        <f t="shared" si="37"/>
        <v>4D 3H</v>
      </c>
      <c r="D1160" t="s">
        <v>58</v>
      </c>
      <c r="E1160" t="s">
        <v>63</v>
      </c>
      <c r="F1160">
        <v>279045</v>
      </c>
      <c r="G1160">
        <v>139523</v>
      </c>
    </row>
    <row r="1161" spans="2:7" x14ac:dyDescent="0.3">
      <c r="B1161" t="str">
        <f t="shared" si="36"/>
        <v>43o</v>
      </c>
      <c r="C1161" t="str">
        <f t="shared" si="37"/>
        <v>4D 3S</v>
      </c>
      <c r="D1161" t="s">
        <v>58</v>
      </c>
      <c r="E1161" t="s">
        <v>64</v>
      </c>
      <c r="F1161">
        <v>279045</v>
      </c>
      <c r="G1161">
        <v>135427</v>
      </c>
    </row>
    <row r="1162" spans="2:7" x14ac:dyDescent="0.3">
      <c r="B1162" t="str">
        <f t="shared" si="36"/>
        <v>43o</v>
      </c>
      <c r="C1162" t="str">
        <f t="shared" si="37"/>
        <v>4H 3C</v>
      </c>
      <c r="D1162" t="s">
        <v>59</v>
      </c>
      <c r="E1162" t="s">
        <v>61</v>
      </c>
      <c r="F1162">
        <v>270853</v>
      </c>
      <c r="G1162">
        <v>164099</v>
      </c>
    </row>
    <row r="1163" spans="2:7" x14ac:dyDescent="0.3">
      <c r="B1163" t="str">
        <f t="shared" si="36"/>
        <v>43o</v>
      </c>
      <c r="C1163" t="str">
        <f t="shared" si="37"/>
        <v>4H 3D</v>
      </c>
      <c r="D1163" t="s">
        <v>59</v>
      </c>
      <c r="E1163" t="s">
        <v>62</v>
      </c>
      <c r="F1163">
        <v>270853</v>
      </c>
      <c r="G1163">
        <v>147715</v>
      </c>
    </row>
    <row r="1164" spans="2:7" x14ac:dyDescent="0.3">
      <c r="B1164" t="str">
        <f t="shared" si="36"/>
        <v>43o</v>
      </c>
      <c r="C1164" t="str">
        <f t="shared" si="37"/>
        <v>4H 3S</v>
      </c>
      <c r="D1164" t="s">
        <v>59</v>
      </c>
      <c r="E1164" t="s">
        <v>64</v>
      </c>
      <c r="F1164">
        <v>270853</v>
      </c>
      <c r="G1164">
        <v>135427</v>
      </c>
    </row>
    <row r="1165" spans="2:7" x14ac:dyDescent="0.3">
      <c r="B1165" t="str">
        <f t="shared" si="36"/>
        <v>43o</v>
      </c>
      <c r="C1165" t="str">
        <f t="shared" si="37"/>
        <v>4S 3C</v>
      </c>
      <c r="D1165" t="s">
        <v>60</v>
      </c>
      <c r="E1165" t="s">
        <v>61</v>
      </c>
      <c r="F1165">
        <v>266757</v>
      </c>
      <c r="G1165">
        <v>164099</v>
      </c>
    </row>
    <row r="1166" spans="2:7" x14ac:dyDescent="0.3">
      <c r="B1166" t="str">
        <f t="shared" si="36"/>
        <v>43o</v>
      </c>
      <c r="C1166" t="str">
        <f t="shared" si="37"/>
        <v>4S 3D</v>
      </c>
      <c r="D1166" t="s">
        <v>60</v>
      </c>
      <c r="E1166" t="s">
        <v>62</v>
      </c>
      <c r="F1166">
        <v>266757</v>
      </c>
      <c r="G1166">
        <v>147715</v>
      </c>
    </row>
    <row r="1167" spans="2:7" x14ac:dyDescent="0.3">
      <c r="B1167" t="str">
        <f t="shared" si="36"/>
        <v>43o</v>
      </c>
      <c r="C1167" t="str">
        <f t="shared" si="37"/>
        <v>4S 3H</v>
      </c>
      <c r="D1167" t="s">
        <v>60</v>
      </c>
      <c r="E1167" t="s">
        <v>63</v>
      </c>
      <c r="F1167">
        <v>266757</v>
      </c>
      <c r="G1167">
        <v>139523</v>
      </c>
    </row>
    <row r="1168" spans="2:7" x14ac:dyDescent="0.3">
      <c r="B1168" t="str">
        <f t="shared" si="36"/>
        <v>33</v>
      </c>
      <c r="C1168" t="str">
        <f t="shared" si="37"/>
        <v>3C 3D</v>
      </c>
      <c r="D1168" t="s">
        <v>61</v>
      </c>
      <c r="E1168" t="s">
        <v>62</v>
      </c>
      <c r="F1168">
        <v>164099</v>
      </c>
      <c r="G1168">
        <v>147715</v>
      </c>
    </row>
    <row r="1169" spans="2:7" x14ac:dyDescent="0.3">
      <c r="B1169" t="str">
        <f t="shared" si="36"/>
        <v>33</v>
      </c>
      <c r="C1169" t="str">
        <f t="shared" si="37"/>
        <v>3C 3H</v>
      </c>
      <c r="D1169" t="s">
        <v>61</v>
      </c>
      <c r="E1169" t="s">
        <v>63</v>
      </c>
      <c r="F1169">
        <v>164099</v>
      </c>
      <c r="G1169">
        <v>139523</v>
      </c>
    </row>
    <row r="1170" spans="2:7" x14ac:dyDescent="0.3">
      <c r="B1170" t="str">
        <f t="shared" si="36"/>
        <v>33</v>
      </c>
      <c r="C1170" t="str">
        <f t="shared" si="37"/>
        <v>3C 3S</v>
      </c>
      <c r="D1170" t="s">
        <v>61</v>
      </c>
      <c r="E1170" t="s">
        <v>64</v>
      </c>
      <c r="F1170">
        <v>164099</v>
      </c>
      <c r="G1170">
        <v>135427</v>
      </c>
    </row>
    <row r="1171" spans="2:7" x14ac:dyDescent="0.3">
      <c r="B1171" t="str">
        <f t="shared" si="36"/>
        <v>33</v>
      </c>
      <c r="C1171" t="str">
        <f t="shared" si="37"/>
        <v>3D 3H</v>
      </c>
      <c r="D1171" t="s">
        <v>62</v>
      </c>
      <c r="E1171" t="s">
        <v>63</v>
      </c>
      <c r="F1171">
        <v>147715</v>
      </c>
      <c r="G1171">
        <v>139523</v>
      </c>
    </row>
    <row r="1172" spans="2:7" x14ac:dyDescent="0.3">
      <c r="B1172" t="str">
        <f t="shared" si="36"/>
        <v>33</v>
      </c>
      <c r="C1172" t="str">
        <f t="shared" si="37"/>
        <v>3D 3S</v>
      </c>
      <c r="D1172" t="s">
        <v>62</v>
      </c>
      <c r="E1172" t="s">
        <v>64</v>
      </c>
      <c r="F1172">
        <v>147715</v>
      </c>
      <c r="G1172">
        <v>135427</v>
      </c>
    </row>
    <row r="1173" spans="2:7" x14ac:dyDescent="0.3">
      <c r="B1173" t="str">
        <f t="shared" si="36"/>
        <v>33</v>
      </c>
      <c r="C1173" t="str">
        <f t="shared" si="37"/>
        <v>3H 3S</v>
      </c>
      <c r="D1173" t="s">
        <v>63</v>
      </c>
      <c r="E1173" t="s">
        <v>64</v>
      </c>
      <c r="F1173">
        <v>139523</v>
      </c>
      <c r="G1173">
        <v>135427</v>
      </c>
    </row>
    <row r="1174" spans="2:7" x14ac:dyDescent="0.3">
      <c r="B1174" t="str">
        <f t="shared" si="36"/>
        <v>32s</v>
      </c>
      <c r="C1174" t="str">
        <f t="shared" si="37"/>
        <v>3C 2C</v>
      </c>
      <c r="D1174" t="s">
        <v>61</v>
      </c>
      <c r="E1174" t="s">
        <v>65</v>
      </c>
      <c r="F1174">
        <v>164099</v>
      </c>
      <c r="G1174">
        <v>98306</v>
      </c>
    </row>
    <row r="1175" spans="2:7" x14ac:dyDescent="0.3">
      <c r="B1175" t="str">
        <f t="shared" si="36"/>
        <v>32s</v>
      </c>
      <c r="C1175" t="str">
        <f t="shared" si="37"/>
        <v>3D 2D</v>
      </c>
      <c r="D1175" t="s">
        <v>62</v>
      </c>
      <c r="E1175" t="s">
        <v>66</v>
      </c>
      <c r="F1175">
        <v>147715</v>
      </c>
      <c r="G1175">
        <v>81922</v>
      </c>
    </row>
    <row r="1176" spans="2:7" x14ac:dyDescent="0.3">
      <c r="B1176" t="str">
        <f t="shared" si="36"/>
        <v>32s</v>
      </c>
      <c r="C1176" t="str">
        <f t="shared" si="37"/>
        <v>3H 2H</v>
      </c>
      <c r="D1176" t="s">
        <v>63</v>
      </c>
      <c r="E1176" t="s">
        <v>67</v>
      </c>
      <c r="F1176">
        <v>139523</v>
      </c>
      <c r="G1176">
        <v>73730</v>
      </c>
    </row>
    <row r="1177" spans="2:7" x14ac:dyDescent="0.3">
      <c r="B1177" t="str">
        <f t="shared" si="36"/>
        <v>32s</v>
      </c>
      <c r="C1177" t="str">
        <f t="shared" si="37"/>
        <v>3S 2S</v>
      </c>
      <c r="D1177" t="s">
        <v>64</v>
      </c>
      <c r="E1177" t="s">
        <v>68</v>
      </c>
      <c r="F1177">
        <v>135427</v>
      </c>
      <c r="G1177">
        <v>69634</v>
      </c>
    </row>
    <row r="1178" spans="2:7" x14ac:dyDescent="0.3">
      <c r="B1178" t="str">
        <f t="shared" si="36"/>
        <v>A2o</v>
      </c>
      <c r="C1178" t="str">
        <f t="shared" si="37"/>
        <v>AC 2D</v>
      </c>
      <c r="D1178" t="s">
        <v>17</v>
      </c>
      <c r="E1178" t="s">
        <v>66</v>
      </c>
      <c r="F1178">
        <v>268471337</v>
      </c>
      <c r="G1178">
        <v>81922</v>
      </c>
    </row>
    <row r="1179" spans="2:7" x14ac:dyDescent="0.3">
      <c r="B1179" t="str">
        <f t="shared" si="36"/>
        <v>A2o</v>
      </c>
      <c r="C1179" t="str">
        <f t="shared" si="37"/>
        <v>AC 2H</v>
      </c>
      <c r="D1179" t="s">
        <v>17</v>
      </c>
      <c r="E1179" t="s">
        <v>67</v>
      </c>
      <c r="F1179">
        <v>268471337</v>
      </c>
      <c r="G1179">
        <v>73730</v>
      </c>
    </row>
    <row r="1180" spans="2:7" x14ac:dyDescent="0.3">
      <c r="B1180" t="str">
        <f t="shared" si="36"/>
        <v>A2o</v>
      </c>
      <c r="C1180" t="str">
        <f t="shared" si="37"/>
        <v>AC 2S</v>
      </c>
      <c r="D1180" t="s">
        <v>17</v>
      </c>
      <c r="E1180" t="s">
        <v>68</v>
      </c>
      <c r="F1180">
        <v>268471337</v>
      </c>
      <c r="G1180">
        <v>69634</v>
      </c>
    </row>
    <row r="1181" spans="2:7" x14ac:dyDescent="0.3">
      <c r="B1181" t="str">
        <f t="shared" si="36"/>
        <v>A2o</v>
      </c>
      <c r="C1181" t="str">
        <f t="shared" si="37"/>
        <v>AD 2C</v>
      </c>
      <c r="D1181" t="s">
        <v>18</v>
      </c>
      <c r="E1181" t="s">
        <v>65</v>
      </c>
      <c r="F1181">
        <v>268454953</v>
      </c>
      <c r="G1181">
        <v>98306</v>
      </c>
    </row>
    <row r="1182" spans="2:7" x14ac:dyDescent="0.3">
      <c r="B1182" t="str">
        <f t="shared" si="36"/>
        <v>A2o</v>
      </c>
      <c r="C1182" t="str">
        <f t="shared" si="37"/>
        <v>AD 2H</v>
      </c>
      <c r="D1182" t="s">
        <v>18</v>
      </c>
      <c r="E1182" t="s">
        <v>67</v>
      </c>
      <c r="F1182">
        <v>268454953</v>
      </c>
      <c r="G1182">
        <v>73730</v>
      </c>
    </row>
    <row r="1183" spans="2:7" x14ac:dyDescent="0.3">
      <c r="B1183" t="str">
        <f t="shared" si="36"/>
        <v>A2o</v>
      </c>
      <c r="C1183" t="str">
        <f t="shared" si="37"/>
        <v>AD 2S</v>
      </c>
      <c r="D1183" t="s">
        <v>18</v>
      </c>
      <c r="E1183" t="s">
        <v>68</v>
      </c>
      <c r="F1183">
        <v>268454953</v>
      </c>
      <c r="G1183">
        <v>69634</v>
      </c>
    </row>
    <row r="1184" spans="2:7" x14ac:dyDescent="0.3">
      <c r="B1184" t="str">
        <f t="shared" si="36"/>
        <v>A2o</v>
      </c>
      <c r="C1184" t="str">
        <f t="shared" si="37"/>
        <v>AH 2C</v>
      </c>
      <c r="D1184" t="s">
        <v>19</v>
      </c>
      <c r="E1184" t="s">
        <v>65</v>
      </c>
      <c r="F1184">
        <v>268446761</v>
      </c>
      <c r="G1184">
        <v>98306</v>
      </c>
    </row>
    <row r="1185" spans="2:7" x14ac:dyDescent="0.3">
      <c r="B1185" t="str">
        <f t="shared" si="36"/>
        <v>A2o</v>
      </c>
      <c r="C1185" t="str">
        <f t="shared" si="37"/>
        <v>AH 2D</v>
      </c>
      <c r="D1185" t="s">
        <v>19</v>
      </c>
      <c r="E1185" t="s">
        <v>66</v>
      </c>
      <c r="F1185">
        <v>268446761</v>
      </c>
      <c r="G1185">
        <v>81922</v>
      </c>
    </row>
    <row r="1186" spans="2:7" x14ac:dyDescent="0.3">
      <c r="B1186" t="str">
        <f t="shared" si="36"/>
        <v>A2o</v>
      </c>
      <c r="C1186" t="str">
        <f t="shared" si="37"/>
        <v>AH 2S</v>
      </c>
      <c r="D1186" t="s">
        <v>19</v>
      </c>
      <c r="E1186" t="s">
        <v>68</v>
      </c>
      <c r="F1186">
        <v>268446761</v>
      </c>
      <c r="G1186">
        <v>69634</v>
      </c>
    </row>
    <row r="1187" spans="2:7" x14ac:dyDescent="0.3">
      <c r="B1187" t="str">
        <f t="shared" si="36"/>
        <v>A2o</v>
      </c>
      <c r="C1187" t="str">
        <f t="shared" si="37"/>
        <v>AS 2C</v>
      </c>
      <c r="D1187" t="s">
        <v>20</v>
      </c>
      <c r="E1187" t="s">
        <v>65</v>
      </c>
      <c r="F1187">
        <v>268442665</v>
      </c>
      <c r="G1187">
        <v>98306</v>
      </c>
    </row>
    <row r="1188" spans="2:7" x14ac:dyDescent="0.3">
      <c r="B1188" t="str">
        <f t="shared" si="36"/>
        <v>A2o</v>
      </c>
      <c r="C1188" t="str">
        <f t="shared" si="37"/>
        <v>AS 2D</v>
      </c>
      <c r="D1188" t="s">
        <v>20</v>
      </c>
      <c r="E1188" t="s">
        <v>66</v>
      </c>
      <c r="F1188">
        <v>268442665</v>
      </c>
      <c r="G1188">
        <v>81922</v>
      </c>
    </row>
    <row r="1189" spans="2:7" x14ac:dyDescent="0.3">
      <c r="B1189" t="str">
        <f t="shared" si="36"/>
        <v>A2o</v>
      </c>
      <c r="C1189" t="str">
        <f t="shared" si="37"/>
        <v>AS 2H</v>
      </c>
      <c r="D1189" t="s">
        <v>20</v>
      </c>
      <c r="E1189" t="s">
        <v>67</v>
      </c>
      <c r="F1189">
        <v>268442665</v>
      </c>
      <c r="G1189">
        <v>73730</v>
      </c>
    </row>
    <row r="1190" spans="2:7" x14ac:dyDescent="0.3">
      <c r="B1190" t="str">
        <f t="shared" si="36"/>
        <v>K2o</v>
      </c>
      <c r="C1190" t="str">
        <f t="shared" si="37"/>
        <v>KC 2D</v>
      </c>
      <c r="D1190" t="s">
        <v>21</v>
      </c>
      <c r="E1190" t="s">
        <v>66</v>
      </c>
      <c r="F1190">
        <v>134253349</v>
      </c>
      <c r="G1190">
        <v>81922</v>
      </c>
    </row>
    <row r="1191" spans="2:7" x14ac:dyDescent="0.3">
      <c r="B1191" t="str">
        <f t="shared" si="36"/>
        <v>K2o</v>
      </c>
      <c r="C1191" t="str">
        <f t="shared" si="37"/>
        <v>KC 2H</v>
      </c>
      <c r="D1191" t="s">
        <v>21</v>
      </c>
      <c r="E1191" t="s">
        <v>67</v>
      </c>
      <c r="F1191">
        <v>134253349</v>
      </c>
      <c r="G1191">
        <v>73730</v>
      </c>
    </row>
    <row r="1192" spans="2:7" x14ac:dyDescent="0.3">
      <c r="B1192" t="str">
        <f t="shared" si="36"/>
        <v>K2o</v>
      </c>
      <c r="C1192" t="str">
        <f t="shared" si="37"/>
        <v>KC 2S</v>
      </c>
      <c r="D1192" t="s">
        <v>21</v>
      </c>
      <c r="E1192" t="s">
        <v>68</v>
      </c>
      <c r="F1192">
        <v>134253349</v>
      </c>
      <c r="G1192">
        <v>69634</v>
      </c>
    </row>
    <row r="1193" spans="2:7" x14ac:dyDescent="0.3">
      <c r="B1193" t="str">
        <f t="shared" si="36"/>
        <v>K2o</v>
      </c>
      <c r="C1193" t="str">
        <f t="shared" si="37"/>
        <v>KD 2C</v>
      </c>
      <c r="D1193" t="s">
        <v>22</v>
      </c>
      <c r="E1193" t="s">
        <v>65</v>
      </c>
      <c r="F1193">
        <v>134236965</v>
      </c>
      <c r="G1193">
        <v>98306</v>
      </c>
    </row>
    <row r="1194" spans="2:7" x14ac:dyDescent="0.3">
      <c r="B1194" t="str">
        <f t="shared" si="36"/>
        <v>K2o</v>
      </c>
      <c r="C1194" t="str">
        <f t="shared" si="37"/>
        <v>KD 2H</v>
      </c>
      <c r="D1194" t="s">
        <v>22</v>
      </c>
      <c r="E1194" t="s">
        <v>67</v>
      </c>
      <c r="F1194">
        <v>134236965</v>
      </c>
      <c r="G1194">
        <v>73730</v>
      </c>
    </row>
    <row r="1195" spans="2:7" x14ac:dyDescent="0.3">
      <c r="B1195" t="str">
        <f t="shared" si="36"/>
        <v>K2o</v>
      </c>
      <c r="C1195" t="str">
        <f t="shared" si="37"/>
        <v>KD 2S</v>
      </c>
      <c r="D1195" t="s">
        <v>22</v>
      </c>
      <c r="E1195" t="s">
        <v>68</v>
      </c>
      <c r="F1195">
        <v>134236965</v>
      </c>
      <c r="G1195">
        <v>69634</v>
      </c>
    </row>
    <row r="1196" spans="2:7" x14ac:dyDescent="0.3">
      <c r="B1196" t="str">
        <f t="shared" si="36"/>
        <v>K2o</v>
      </c>
      <c r="C1196" t="str">
        <f t="shared" si="37"/>
        <v>KH 2C</v>
      </c>
      <c r="D1196" t="s">
        <v>23</v>
      </c>
      <c r="E1196" t="s">
        <v>65</v>
      </c>
      <c r="F1196">
        <v>134228773</v>
      </c>
      <c r="G1196">
        <v>98306</v>
      </c>
    </row>
    <row r="1197" spans="2:7" x14ac:dyDescent="0.3">
      <c r="B1197" t="str">
        <f t="shared" si="36"/>
        <v>K2o</v>
      </c>
      <c r="C1197" t="str">
        <f t="shared" si="37"/>
        <v>KH 2D</v>
      </c>
      <c r="D1197" t="s">
        <v>23</v>
      </c>
      <c r="E1197" t="s">
        <v>66</v>
      </c>
      <c r="F1197">
        <v>134228773</v>
      </c>
      <c r="G1197">
        <v>81922</v>
      </c>
    </row>
    <row r="1198" spans="2:7" x14ac:dyDescent="0.3">
      <c r="B1198" t="str">
        <f t="shared" si="36"/>
        <v>K2o</v>
      </c>
      <c r="C1198" t="str">
        <f t="shared" si="37"/>
        <v>KH 2S</v>
      </c>
      <c r="D1198" t="s">
        <v>23</v>
      </c>
      <c r="E1198" t="s">
        <v>68</v>
      </c>
      <c r="F1198">
        <v>134228773</v>
      </c>
      <c r="G1198">
        <v>69634</v>
      </c>
    </row>
    <row r="1199" spans="2:7" x14ac:dyDescent="0.3">
      <c r="B1199" t="str">
        <f t="shared" si="36"/>
        <v>K2o</v>
      </c>
      <c r="C1199" t="str">
        <f t="shared" si="37"/>
        <v>KS 2C</v>
      </c>
      <c r="D1199" t="s">
        <v>24</v>
      </c>
      <c r="E1199" t="s">
        <v>65</v>
      </c>
      <c r="F1199">
        <v>134224677</v>
      </c>
      <c r="G1199">
        <v>98306</v>
      </c>
    </row>
    <row r="1200" spans="2:7" x14ac:dyDescent="0.3">
      <c r="B1200" t="str">
        <f t="shared" si="36"/>
        <v>K2o</v>
      </c>
      <c r="C1200" t="str">
        <f t="shared" si="37"/>
        <v>KS 2D</v>
      </c>
      <c r="D1200" t="s">
        <v>24</v>
      </c>
      <c r="E1200" t="s">
        <v>66</v>
      </c>
      <c r="F1200">
        <v>134224677</v>
      </c>
      <c r="G1200">
        <v>81922</v>
      </c>
    </row>
    <row r="1201" spans="2:7" x14ac:dyDescent="0.3">
      <c r="B1201" t="str">
        <f t="shared" si="36"/>
        <v>K2o</v>
      </c>
      <c r="C1201" t="str">
        <f t="shared" si="37"/>
        <v>KS 2H</v>
      </c>
      <c r="D1201" t="s">
        <v>24</v>
      </c>
      <c r="E1201" t="s">
        <v>67</v>
      </c>
      <c r="F1201">
        <v>134224677</v>
      </c>
      <c r="G1201">
        <v>73730</v>
      </c>
    </row>
    <row r="1202" spans="2:7" x14ac:dyDescent="0.3">
      <c r="B1202" t="str">
        <f t="shared" si="36"/>
        <v>Q2o</v>
      </c>
      <c r="C1202" t="str">
        <f t="shared" si="37"/>
        <v>QC 2D</v>
      </c>
      <c r="D1202" t="s">
        <v>25</v>
      </c>
      <c r="E1202" t="s">
        <v>66</v>
      </c>
      <c r="F1202">
        <v>67144223</v>
      </c>
      <c r="G1202">
        <v>81922</v>
      </c>
    </row>
    <row r="1203" spans="2:7" x14ac:dyDescent="0.3">
      <c r="B1203" t="str">
        <f t="shared" si="36"/>
        <v>Q2o</v>
      </c>
      <c r="C1203" t="str">
        <f t="shared" si="37"/>
        <v>QC 2H</v>
      </c>
      <c r="D1203" t="s">
        <v>25</v>
      </c>
      <c r="E1203" t="s">
        <v>67</v>
      </c>
      <c r="F1203">
        <v>67144223</v>
      </c>
      <c r="G1203">
        <v>73730</v>
      </c>
    </row>
    <row r="1204" spans="2:7" x14ac:dyDescent="0.3">
      <c r="B1204" t="str">
        <f t="shared" si="36"/>
        <v>Q2o</v>
      </c>
      <c r="C1204" t="str">
        <f t="shared" si="37"/>
        <v>QC 2S</v>
      </c>
      <c r="D1204" t="s">
        <v>25</v>
      </c>
      <c r="E1204" t="s">
        <v>68</v>
      </c>
      <c r="F1204">
        <v>67144223</v>
      </c>
      <c r="G1204">
        <v>69634</v>
      </c>
    </row>
    <row r="1205" spans="2:7" x14ac:dyDescent="0.3">
      <c r="B1205" t="str">
        <f t="shared" si="36"/>
        <v>Q2o</v>
      </c>
      <c r="C1205" t="str">
        <f t="shared" si="37"/>
        <v>QD 2C</v>
      </c>
      <c r="D1205" t="s">
        <v>26</v>
      </c>
      <c r="E1205" t="s">
        <v>65</v>
      </c>
      <c r="F1205">
        <v>67127839</v>
      </c>
      <c r="G1205">
        <v>98306</v>
      </c>
    </row>
    <row r="1206" spans="2:7" x14ac:dyDescent="0.3">
      <c r="B1206" t="str">
        <f t="shared" si="36"/>
        <v>Q2o</v>
      </c>
      <c r="C1206" t="str">
        <f t="shared" si="37"/>
        <v>QD 2H</v>
      </c>
      <c r="D1206" t="s">
        <v>26</v>
      </c>
      <c r="E1206" t="s">
        <v>67</v>
      </c>
      <c r="F1206">
        <v>67127839</v>
      </c>
      <c r="G1206">
        <v>73730</v>
      </c>
    </row>
    <row r="1207" spans="2:7" x14ac:dyDescent="0.3">
      <c r="B1207" t="str">
        <f t="shared" si="36"/>
        <v>Q2o</v>
      </c>
      <c r="C1207" t="str">
        <f t="shared" si="37"/>
        <v>QD 2S</v>
      </c>
      <c r="D1207" t="s">
        <v>26</v>
      </c>
      <c r="E1207" t="s">
        <v>68</v>
      </c>
      <c r="F1207">
        <v>67127839</v>
      </c>
      <c r="G1207">
        <v>69634</v>
      </c>
    </row>
    <row r="1208" spans="2:7" x14ac:dyDescent="0.3">
      <c r="B1208" t="str">
        <f t="shared" si="36"/>
        <v>Q2o</v>
      </c>
      <c r="C1208" t="str">
        <f t="shared" si="37"/>
        <v>QH 2C</v>
      </c>
      <c r="D1208" t="s">
        <v>27</v>
      </c>
      <c r="E1208" t="s">
        <v>65</v>
      </c>
      <c r="F1208">
        <v>67119647</v>
      </c>
      <c r="G1208">
        <v>98306</v>
      </c>
    </row>
    <row r="1209" spans="2:7" x14ac:dyDescent="0.3">
      <c r="B1209" t="str">
        <f t="shared" si="36"/>
        <v>Q2o</v>
      </c>
      <c r="C1209" t="str">
        <f t="shared" si="37"/>
        <v>QH 2D</v>
      </c>
      <c r="D1209" t="s">
        <v>27</v>
      </c>
      <c r="E1209" t="s">
        <v>66</v>
      </c>
      <c r="F1209">
        <v>67119647</v>
      </c>
      <c r="G1209">
        <v>81922</v>
      </c>
    </row>
    <row r="1210" spans="2:7" x14ac:dyDescent="0.3">
      <c r="B1210" t="str">
        <f t="shared" si="36"/>
        <v>Q2o</v>
      </c>
      <c r="C1210" t="str">
        <f t="shared" si="37"/>
        <v>QH 2S</v>
      </c>
      <c r="D1210" t="s">
        <v>27</v>
      </c>
      <c r="E1210" t="s">
        <v>68</v>
      </c>
      <c r="F1210">
        <v>67119647</v>
      </c>
      <c r="G1210">
        <v>69634</v>
      </c>
    </row>
    <row r="1211" spans="2:7" x14ac:dyDescent="0.3">
      <c r="B1211" t="str">
        <f t="shared" si="36"/>
        <v>Q2o</v>
      </c>
      <c r="C1211" t="str">
        <f t="shared" si="37"/>
        <v>QS 2C</v>
      </c>
      <c r="D1211" t="s">
        <v>28</v>
      </c>
      <c r="E1211" t="s">
        <v>65</v>
      </c>
      <c r="F1211">
        <v>67115551</v>
      </c>
      <c r="G1211">
        <v>98306</v>
      </c>
    </row>
    <row r="1212" spans="2:7" x14ac:dyDescent="0.3">
      <c r="B1212" t="str">
        <f t="shared" si="36"/>
        <v>Q2o</v>
      </c>
      <c r="C1212" t="str">
        <f t="shared" si="37"/>
        <v>QS 2D</v>
      </c>
      <c r="D1212" t="s">
        <v>28</v>
      </c>
      <c r="E1212" t="s">
        <v>66</v>
      </c>
      <c r="F1212">
        <v>67115551</v>
      </c>
      <c r="G1212">
        <v>81922</v>
      </c>
    </row>
    <row r="1213" spans="2:7" x14ac:dyDescent="0.3">
      <c r="B1213" t="str">
        <f t="shared" si="36"/>
        <v>Q2o</v>
      </c>
      <c r="C1213" t="str">
        <f t="shared" si="37"/>
        <v>QS 2H</v>
      </c>
      <c r="D1213" t="s">
        <v>28</v>
      </c>
      <c r="E1213" t="s">
        <v>67</v>
      </c>
      <c r="F1213">
        <v>67115551</v>
      </c>
      <c r="G1213">
        <v>73730</v>
      </c>
    </row>
    <row r="1214" spans="2:7" x14ac:dyDescent="0.3">
      <c r="B1214" t="str">
        <f t="shared" si="36"/>
        <v>J2o</v>
      </c>
      <c r="C1214" t="str">
        <f t="shared" si="37"/>
        <v>JC 2D</v>
      </c>
      <c r="D1214" t="s">
        <v>29</v>
      </c>
      <c r="E1214" t="s">
        <v>66</v>
      </c>
      <c r="F1214">
        <v>33589533</v>
      </c>
      <c r="G1214">
        <v>81922</v>
      </c>
    </row>
    <row r="1215" spans="2:7" x14ac:dyDescent="0.3">
      <c r="B1215" t="str">
        <f t="shared" si="36"/>
        <v>J2o</v>
      </c>
      <c r="C1215" t="str">
        <f t="shared" si="37"/>
        <v>JC 2H</v>
      </c>
      <c r="D1215" t="s">
        <v>29</v>
      </c>
      <c r="E1215" t="s">
        <v>67</v>
      </c>
      <c r="F1215">
        <v>33589533</v>
      </c>
      <c r="G1215">
        <v>73730</v>
      </c>
    </row>
    <row r="1216" spans="2:7" x14ac:dyDescent="0.3">
      <c r="B1216" t="str">
        <f t="shared" si="36"/>
        <v>J2o</v>
      </c>
      <c r="C1216" t="str">
        <f t="shared" si="37"/>
        <v>JC 2S</v>
      </c>
      <c r="D1216" t="s">
        <v>29</v>
      </c>
      <c r="E1216" t="s">
        <v>68</v>
      </c>
      <c r="F1216">
        <v>33589533</v>
      </c>
      <c r="G1216">
        <v>69634</v>
      </c>
    </row>
    <row r="1217" spans="2:7" x14ac:dyDescent="0.3">
      <c r="B1217" t="str">
        <f t="shared" si="36"/>
        <v>J2o</v>
      </c>
      <c r="C1217" t="str">
        <f t="shared" si="37"/>
        <v>JD 2C</v>
      </c>
      <c r="D1217" t="s">
        <v>30</v>
      </c>
      <c r="E1217" t="s">
        <v>65</v>
      </c>
      <c r="F1217">
        <v>33573149</v>
      </c>
      <c r="G1217">
        <v>98306</v>
      </c>
    </row>
    <row r="1218" spans="2:7" x14ac:dyDescent="0.3">
      <c r="B1218" t="str">
        <f t="shared" si="36"/>
        <v>J2o</v>
      </c>
      <c r="C1218" t="str">
        <f t="shared" si="37"/>
        <v>JD 2H</v>
      </c>
      <c r="D1218" t="s">
        <v>30</v>
      </c>
      <c r="E1218" t="s">
        <v>67</v>
      </c>
      <c r="F1218">
        <v>33573149</v>
      </c>
      <c r="G1218">
        <v>73730</v>
      </c>
    </row>
    <row r="1219" spans="2:7" x14ac:dyDescent="0.3">
      <c r="B1219" t="str">
        <f t="shared" ref="B1219:B1282" si="38">LEFT(D1219,1)&amp;LEFT(E1219,1)&amp;IF(LEFT(D1219,1)=LEFT(E1219,1), "", IF(RIGHT(D1219,1)=RIGHT(E1219,1), "s", "o"))</f>
        <v>J2o</v>
      </c>
      <c r="C1219" t="str">
        <f t="shared" ref="C1219:C1282" si="39">UPPER(D1219&amp;" "&amp;E1219)</f>
        <v>JD 2S</v>
      </c>
      <c r="D1219" t="s">
        <v>30</v>
      </c>
      <c r="E1219" t="s">
        <v>68</v>
      </c>
      <c r="F1219">
        <v>33573149</v>
      </c>
      <c r="G1219">
        <v>69634</v>
      </c>
    </row>
    <row r="1220" spans="2:7" x14ac:dyDescent="0.3">
      <c r="B1220" t="str">
        <f t="shared" si="38"/>
        <v>J2o</v>
      </c>
      <c r="C1220" t="str">
        <f t="shared" si="39"/>
        <v>JH 2C</v>
      </c>
      <c r="D1220" t="s">
        <v>31</v>
      </c>
      <c r="E1220" t="s">
        <v>65</v>
      </c>
      <c r="F1220">
        <v>33564957</v>
      </c>
      <c r="G1220">
        <v>98306</v>
      </c>
    </row>
    <row r="1221" spans="2:7" x14ac:dyDescent="0.3">
      <c r="B1221" t="str">
        <f t="shared" si="38"/>
        <v>J2o</v>
      </c>
      <c r="C1221" t="str">
        <f t="shared" si="39"/>
        <v>JH 2D</v>
      </c>
      <c r="D1221" t="s">
        <v>31</v>
      </c>
      <c r="E1221" t="s">
        <v>66</v>
      </c>
      <c r="F1221">
        <v>33564957</v>
      </c>
      <c r="G1221">
        <v>81922</v>
      </c>
    </row>
    <row r="1222" spans="2:7" x14ac:dyDescent="0.3">
      <c r="B1222" t="str">
        <f t="shared" si="38"/>
        <v>J2o</v>
      </c>
      <c r="C1222" t="str">
        <f t="shared" si="39"/>
        <v>JH 2S</v>
      </c>
      <c r="D1222" t="s">
        <v>31</v>
      </c>
      <c r="E1222" t="s">
        <v>68</v>
      </c>
      <c r="F1222">
        <v>33564957</v>
      </c>
      <c r="G1222">
        <v>69634</v>
      </c>
    </row>
    <row r="1223" spans="2:7" x14ac:dyDescent="0.3">
      <c r="B1223" t="str">
        <f t="shared" si="38"/>
        <v>J2o</v>
      </c>
      <c r="C1223" t="str">
        <f t="shared" si="39"/>
        <v>JS 2C</v>
      </c>
      <c r="D1223" t="s">
        <v>32</v>
      </c>
      <c r="E1223" t="s">
        <v>65</v>
      </c>
      <c r="F1223">
        <v>33560861</v>
      </c>
      <c r="G1223">
        <v>98306</v>
      </c>
    </row>
    <row r="1224" spans="2:7" x14ac:dyDescent="0.3">
      <c r="B1224" t="str">
        <f t="shared" si="38"/>
        <v>J2o</v>
      </c>
      <c r="C1224" t="str">
        <f t="shared" si="39"/>
        <v>JS 2D</v>
      </c>
      <c r="D1224" t="s">
        <v>32</v>
      </c>
      <c r="E1224" t="s">
        <v>66</v>
      </c>
      <c r="F1224">
        <v>33560861</v>
      </c>
      <c r="G1224">
        <v>81922</v>
      </c>
    </row>
    <row r="1225" spans="2:7" x14ac:dyDescent="0.3">
      <c r="B1225" t="str">
        <f t="shared" si="38"/>
        <v>J2o</v>
      </c>
      <c r="C1225" t="str">
        <f t="shared" si="39"/>
        <v>JS 2H</v>
      </c>
      <c r="D1225" t="s">
        <v>32</v>
      </c>
      <c r="E1225" t="s">
        <v>67</v>
      </c>
      <c r="F1225">
        <v>33560861</v>
      </c>
      <c r="G1225">
        <v>73730</v>
      </c>
    </row>
    <row r="1226" spans="2:7" x14ac:dyDescent="0.3">
      <c r="B1226" t="str">
        <f t="shared" si="38"/>
        <v>T2o</v>
      </c>
      <c r="C1226" t="str">
        <f t="shared" si="39"/>
        <v>TC 2D</v>
      </c>
      <c r="D1226" t="s">
        <v>33</v>
      </c>
      <c r="E1226" t="s">
        <v>66</v>
      </c>
      <c r="F1226">
        <v>16812055</v>
      </c>
      <c r="G1226">
        <v>81922</v>
      </c>
    </row>
    <row r="1227" spans="2:7" x14ac:dyDescent="0.3">
      <c r="B1227" t="str">
        <f t="shared" si="38"/>
        <v>T2o</v>
      </c>
      <c r="C1227" t="str">
        <f t="shared" si="39"/>
        <v>TC 2H</v>
      </c>
      <c r="D1227" t="s">
        <v>33</v>
      </c>
      <c r="E1227" t="s">
        <v>67</v>
      </c>
      <c r="F1227">
        <v>16812055</v>
      </c>
      <c r="G1227">
        <v>73730</v>
      </c>
    </row>
    <row r="1228" spans="2:7" x14ac:dyDescent="0.3">
      <c r="B1228" t="str">
        <f t="shared" si="38"/>
        <v>T2o</v>
      </c>
      <c r="C1228" t="str">
        <f t="shared" si="39"/>
        <v>TC 2S</v>
      </c>
      <c r="D1228" t="s">
        <v>33</v>
      </c>
      <c r="E1228" t="s">
        <v>68</v>
      </c>
      <c r="F1228">
        <v>16812055</v>
      </c>
      <c r="G1228">
        <v>69634</v>
      </c>
    </row>
    <row r="1229" spans="2:7" x14ac:dyDescent="0.3">
      <c r="B1229" t="str">
        <f t="shared" si="38"/>
        <v>T2o</v>
      </c>
      <c r="C1229" t="str">
        <f t="shared" si="39"/>
        <v>TD 2C</v>
      </c>
      <c r="D1229" t="s">
        <v>34</v>
      </c>
      <c r="E1229" t="s">
        <v>65</v>
      </c>
      <c r="F1229">
        <v>16795671</v>
      </c>
      <c r="G1229">
        <v>98306</v>
      </c>
    </row>
    <row r="1230" spans="2:7" x14ac:dyDescent="0.3">
      <c r="B1230" t="str">
        <f t="shared" si="38"/>
        <v>T2o</v>
      </c>
      <c r="C1230" t="str">
        <f t="shared" si="39"/>
        <v>TD 2H</v>
      </c>
      <c r="D1230" t="s">
        <v>34</v>
      </c>
      <c r="E1230" t="s">
        <v>67</v>
      </c>
      <c r="F1230">
        <v>16795671</v>
      </c>
      <c r="G1230">
        <v>73730</v>
      </c>
    </row>
    <row r="1231" spans="2:7" x14ac:dyDescent="0.3">
      <c r="B1231" t="str">
        <f t="shared" si="38"/>
        <v>T2o</v>
      </c>
      <c r="C1231" t="str">
        <f t="shared" si="39"/>
        <v>TD 2S</v>
      </c>
      <c r="D1231" t="s">
        <v>34</v>
      </c>
      <c r="E1231" t="s">
        <v>68</v>
      </c>
      <c r="F1231">
        <v>16795671</v>
      </c>
      <c r="G1231">
        <v>69634</v>
      </c>
    </row>
    <row r="1232" spans="2:7" x14ac:dyDescent="0.3">
      <c r="B1232" t="str">
        <f t="shared" si="38"/>
        <v>T2o</v>
      </c>
      <c r="C1232" t="str">
        <f t="shared" si="39"/>
        <v>TH 2C</v>
      </c>
      <c r="D1232" t="s">
        <v>35</v>
      </c>
      <c r="E1232" t="s">
        <v>65</v>
      </c>
      <c r="F1232">
        <v>16787479</v>
      </c>
      <c r="G1232">
        <v>98306</v>
      </c>
    </row>
    <row r="1233" spans="2:7" x14ac:dyDescent="0.3">
      <c r="B1233" t="str">
        <f t="shared" si="38"/>
        <v>T2o</v>
      </c>
      <c r="C1233" t="str">
        <f t="shared" si="39"/>
        <v>TH 2D</v>
      </c>
      <c r="D1233" t="s">
        <v>35</v>
      </c>
      <c r="E1233" t="s">
        <v>66</v>
      </c>
      <c r="F1233">
        <v>16787479</v>
      </c>
      <c r="G1233">
        <v>81922</v>
      </c>
    </row>
    <row r="1234" spans="2:7" x14ac:dyDescent="0.3">
      <c r="B1234" t="str">
        <f t="shared" si="38"/>
        <v>T2o</v>
      </c>
      <c r="C1234" t="str">
        <f t="shared" si="39"/>
        <v>TH 2S</v>
      </c>
      <c r="D1234" t="s">
        <v>35</v>
      </c>
      <c r="E1234" t="s">
        <v>68</v>
      </c>
      <c r="F1234">
        <v>16787479</v>
      </c>
      <c r="G1234">
        <v>69634</v>
      </c>
    </row>
    <row r="1235" spans="2:7" x14ac:dyDescent="0.3">
      <c r="B1235" t="str">
        <f t="shared" si="38"/>
        <v>T2o</v>
      </c>
      <c r="C1235" t="str">
        <f t="shared" si="39"/>
        <v>TS 2C</v>
      </c>
      <c r="D1235" t="s">
        <v>36</v>
      </c>
      <c r="E1235" t="s">
        <v>65</v>
      </c>
      <c r="F1235">
        <v>16783383</v>
      </c>
      <c r="G1235">
        <v>98306</v>
      </c>
    </row>
    <row r="1236" spans="2:7" x14ac:dyDescent="0.3">
      <c r="B1236" t="str">
        <f t="shared" si="38"/>
        <v>T2o</v>
      </c>
      <c r="C1236" t="str">
        <f t="shared" si="39"/>
        <v>TS 2D</v>
      </c>
      <c r="D1236" t="s">
        <v>36</v>
      </c>
      <c r="E1236" t="s">
        <v>66</v>
      </c>
      <c r="F1236">
        <v>16783383</v>
      </c>
      <c r="G1236">
        <v>81922</v>
      </c>
    </row>
    <row r="1237" spans="2:7" x14ac:dyDescent="0.3">
      <c r="B1237" t="str">
        <f t="shared" si="38"/>
        <v>T2o</v>
      </c>
      <c r="C1237" t="str">
        <f t="shared" si="39"/>
        <v>TS 2H</v>
      </c>
      <c r="D1237" t="s">
        <v>36</v>
      </c>
      <c r="E1237" t="s">
        <v>67</v>
      </c>
      <c r="F1237">
        <v>16783383</v>
      </c>
      <c r="G1237">
        <v>73730</v>
      </c>
    </row>
    <row r="1238" spans="2:7" x14ac:dyDescent="0.3">
      <c r="B1238" t="str">
        <f t="shared" si="38"/>
        <v>92o</v>
      </c>
      <c r="C1238" t="str">
        <f t="shared" si="39"/>
        <v>9C 2D</v>
      </c>
      <c r="D1238" t="s">
        <v>37</v>
      </c>
      <c r="E1238" t="s">
        <v>66</v>
      </c>
      <c r="F1238">
        <v>8423187</v>
      </c>
      <c r="G1238">
        <v>81922</v>
      </c>
    </row>
    <row r="1239" spans="2:7" x14ac:dyDescent="0.3">
      <c r="B1239" t="str">
        <f t="shared" si="38"/>
        <v>92o</v>
      </c>
      <c r="C1239" t="str">
        <f t="shared" si="39"/>
        <v>9C 2H</v>
      </c>
      <c r="D1239" t="s">
        <v>37</v>
      </c>
      <c r="E1239" t="s">
        <v>67</v>
      </c>
      <c r="F1239">
        <v>8423187</v>
      </c>
      <c r="G1239">
        <v>73730</v>
      </c>
    </row>
    <row r="1240" spans="2:7" x14ac:dyDescent="0.3">
      <c r="B1240" t="str">
        <f t="shared" si="38"/>
        <v>92o</v>
      </c>
      <c r="C1240" t="str">
        <f t="shared" si="39"/>
        <v>9C 2S</v>
      </c>
      <c r="D1240" t="s">
        <v>37</v>
      </c>
      <c r="E1240" t="s">
        <v>68</v>
      </c>
      <c r="F1240">
        <v>8423187</v>
      </c>
      <c r="G1240">
        <v>69634</v>
      </c>
    </row>
    <row r="1241" spans="2:7" x14ac:dyDescent="0.3">
      <c r="B1241" t="str">
        <f t="shared" si="38"/>
        <v>92o</v>
      </c>
      <c r="C1241" t="str">
        <f t="shared" si="39"/>
        <v>9D 2C</v>
      </c>
      <c r="D1241" t="s">
        <v>38</v>
      </c>
      <c r="E1241" t="s">
        <v>65</v>
      </c>
      <c r="F1241">
        <v>8406803</v>
      </c>
      <c r="G1241">
        <v>98306</v>
      </c>
    </row>
    <row r="1242" spans="2:7" x14ac:dyDescent="0.3">
      <c r="B1242" t="str">
        <f t="shared" si="38"/>
        <v>92o</v>
      </c>
      <c r="C1242" t="str">
        <f t="shared" si="39"/>
        <v>9D 2H</v>
      </c>
      <c r="D1242" t="s">
        <v>38</v>
      </c>
      <c r="E1242" t="s">
        <v>67</v>
      </c>
      <c r="F1242">
        <v>8406803</v>
      </c>
      <c r="G1242">
        <v>73730</v>
      </c>
    </row>
    <row r="1243" spans="2:7" x14ac:dyDescent="0.3">
      <c r="B1243" t="str">
        <f t="shared" si="38"/>
        <v>92o</v>
      </c>
      <c r="C1243" t="str">
        <f t="shared" si="39"/>
        <v>9D 2S</v>
      </c>
      <c r="D1243" t="s">
        <v>38</v>
      </c>
      <c r="E1243" t="s">
        <v>68</v>
      </c>
      <c r="F1243">
        <v>8406803</v>
      </c>
      <c r="G1243">
        <v>69634</v>
      </c>
    </row>
    <row r="1244" spans="2:7" x14ac:dyDescent="0.3">
      <c r="B1244" t="str">
        <f t="shared" si="38"/>
        <v>92o</v>
      </c>
      <c r="C1244" t="str">
        <f t="shared" si="39"/>
        <v>9H 2C</v>
      </c>
      <c r="D1244" t="s">
        <v>39</v>
      </c>
      <c r="E1244" t="s">
        <v>65</v>
      </c>
      <c r="F1244">
        <v>8398611</v>
      </c>
      <c r="G1244">
        <v>98306</v>
      </c>
    </row>
    <row r="1245" spans="2:7" x14ac:dyDescent="0.3">
      <c r="B1245" t="str">
        <f t="shared" si="38"/>
        <v>92o</v>
      </c>
      <c r="C1245" t="str">
        <f t="shared" si="39"/>
        <v>9H 2D</v>
      </c>
      <c r="D1245" t="s">
        <v>39</v>
      </c>
      <c r="E1245" t="s">
        <v>66</v>
      </c>
      <c r="F1245">
        <v>8398611</v>
      </c>
      <c r="G1245">
        <v>81922</v>
      </c>
    </row>
    <row r="1246" spans="2:7" x14ac:dyDescent="0.3">
      <c r="B1246" t="str">
        <f t="shared" si="38"/>
        <v>92o</v>
      </c>
      <c r="C1246" t="str">
        <f t="shared" si="39"/>
        <v>9H 2S</v>
      </c>
      <c r="D1246" t="s">
        <v>39</v>
      </c>
      <c r="E1246" t="s">
        <v>68</v>
      </c>
      <c r="F1246">
        <v>8398611</v>
      </c>
      <c r="G1246">
        <v>69634</v>
      </c>
    </row>
    <row r="1247" spans="2:7" x14ac:dyDescent="0.3">
      <c r="B1247" t="str">
        <f t="shared" si="38"/>
        <v>92o</v>
      </c>
      <c r="C1247" t="str">
        <f t="shared" si="39"/>
        <v>9S 2C</v>
      </c>
      <c r="D1247" t="s">
        <v>40</v>
      </c>
      <c r="E1247" t="s">
        <v>65</v>
      </c>
      <c r="F1247">
        <v>8394515</v>
      </c>
      <c r="G1247">
        <v>98306</v>
      </c>
    </row>
    <row r="1248" spans="2:7" x14ac:dyDescent="0.3">
      <c r="B1248" t="str">
        <f t="shared" si="38"/>
        <v>92o</v>
      </c>
      <c r="C1248" t="str">
        <f t="shared" si="39"/>
        <v>9S 2D</v>
      </c>
      <c r="D1248" t="s">
        <v>40</v>
      </c>
      <c r="E1248" t="s">
        <v>66</v>
      </c>
      <c r="F1248">
        <v>8394515</v>
      </c>
      <c r="G1248">
        <v>81922</v>
      </c>
    </row>
    <row r="1249" spans="2:7" x14ac:dyDescent="0.3">
      <c r="B1249" t="str">
        <f t="shared" si="38"/>
        <v>92o</v>
      </c>
      <c r="C1249" t="str">
        <f t="shared" si="39"/>
        <v>9S 2H</v>
      </c>
      <c r="D1249" t="s">
        <v>40</v>
      </c>
      <c r="E1249" t="s">
        <v>67</v>
      </c>
      <c r="F1249">
        <v>8394515</v>
      </c>
      <c r="G1249">
        <v>73730</v>
      </c>
    </row>
    <row r="1250" spans="2:7" x14ac:dyDescent="0.3">
      <c r="B1250" t="str">
        <f t="shared" si="38"/>
        <v>82o</v>
      </c>
      <c r="C1250" t="str">
        <f t="shared" si="39"/>
        <v>8C 2D</v>
      </c>
      <c r="D1250" t="s">
        <v>41</v>
      </c>
      <c r="E1250" t="s">
        <v>66</v>
      </c>
      <c r="F1250">
        <v>4228625</v>
      </c>
      <c r="G1250">
        <v>81922</v>
      </c>
    </row>
    <row r="1251" spans="2:7" x14ac:dyDescent="0.3">
      <c r="B1251" t="str">
        <f t="shared" si="38"/>
        <v>82o</v>
      </c>
      <c r="C1251" t="str">
        <f t="shared" si="39"/>
        <v>8C 2H</v>
      </c>
      <c r="D1251" t="s">
        <v>41</v>
      </c>
      <c r="E1251" t="s">
        <v>67</v>
      </c>
      <c r="F1251">
        <v>4228625</v>
      </c>
      <c r="G1251">
        <v>73730</v>
      </c>
    </row>
    <row r="1252" spans="2:7" x14ac:dyDescent="0.3">
      <c r="B1252" t="str">
        <f t="shared" si="38"/>
        <v>82o</v>
      </c>
      <c r="C1252" t="str">
        <f t="shared" si="39"/>
        <v>8C 2S</v>
      </c>
      <c r="D1252" t="s">
        <v>41</v>
      </c>
      <c r="E1252" t="s">
        <v>68</v>
      </c>
      <c r="F1252">
        <v>4228625</v>
      </c>
      <c r="G1252">
        <v>69634</v>
      </c>
    </row>
    <row r="1253" spans="2:7" x14ac:dyDescent="0.3">
      <c r="B1253" t="str">
        <f t="shared" si="38"/>
        <v>82o</v>
      </c>
      <c r="C1253" t="str">
        <f t="shared" si="39"/>
        <v>8D 2C</v>
      </c>
      <c r="D1253" t="s">
        <v>42</v>
      </c>
      <c r="E1253" t="s">
        <v>65</v>
      </c>
      <c r="F1253">
        <v>4212241</v>
      </c>
      <c r="G1253">
        <v>98306</v>
      </c>
    </row>
    <row r="1254" spans="2:7" x14ac:dyDescent="0.3">
      <c r="B1254" t="str">
        <f t="shared" si="38"/>
        <v>82o</v>
      </c>
      <c r="C1254" t="str">
        <f t="shared" si="39"/>
        <v>8D 2H</v>
      </c>
      <c r="D1254" t="s">
        <v>42</v>
      </c>
      <c r="E1254" t="s">
        <v>67</v>
      </c>
      <c r="F1254">
        <v>4212241</v>
      </c>
      <c r="G1254">
        <v>73730</v>
      </c>
    </row>
    <row r="1255" spans="2:7" x14ac:dyDescent="0.3">
      <c r="B1255" t="str">
        <f t="shared" si="38"/>
        <v>82o</v>
      </c>
      <c r="C1255" t="str">
        <f t="shared" si="39"/>
        <v>8D 2S</v>
      </c>
      <c r="D1255" t="s">
        <v>42</v>
      </c>
      <c r="E1255" t="s">
        <v>68</v>
      </c>
      <c r="F1255">
        <v>4212241</v>
      </c>
      <c r="G1255">
        <v>69634</v>
      </c>
    </row>
    <row r="1256" spans="2:7" x14ac:dyDescent="0.3">
      <c r="B1256" t="str">
        <f t="shared" si="38"/>
        <v>82o</v>
      </c>
      <c r="C1256" t="str">
        <f t="shared" si="39"/>
        <v>8H 2C</v>
      </c>
      <c r="D1256" t="s">
        <v>43</v>
      </c>
      <c r="E1256" t="s">
        <v>65</v>
      </c>
      <c r="F1256">
        <v>4204049</v>
      </c>
      <c r="G1256">
        <v>98306</v>
      </c>
    </row>
    <row r="1257" spans="2:7" x14ac:dyDescent="0.3">
      <c r="B1257" t="str">
        <f t="shared" si="38"/>
        <v>82o</v>
      </c>
      <c r="C1257" t="str">
        <f t="shared" si="39"/>
        <v>8H 2D</v>
      </c>
      <c r="D1257" t="s">
        <v>43</v>
      </c>
      <c r="E1257" t="s">
        <v>66</v>
      </c>
      <c r="F1257">
        <v>4204049</v>
      </c>
      <c r="G1257">
        <v>81922</v>
      </c>
    </row>
    <row r="1258" spans="2:7" x14ac:dyDescent="0.3">
      <c r="B1258" t="str">
        <f t="shared" si="38"/>
        <v>82o</v>
      </c>
      <c r="C1258" t="str">
        <f t="shared" si="39"/>
        <v>8H 2S</v>
      </c>
      <c r="D1258" t="s">
        <v>43</v>
      </c>
      <c r="E1258" t="s">
        <v>68</v>
      </c>
      <c r="F1258">
        <v>4204049</v>
      </c>
      <c r="G1258">
        <v>69634</v>
      </c>
    </row>
    <row r="1259" spans="2:7" x14ac:dyDescent="0.3">
      <c r="B1259" t="str">
        <f t="shared" si="38"/>
        <v>82o</v>
      </c>
      <c r="C1259" t="str">
        <f t="shared" si="39"/>
        <v>8S 2C</v>
      </c>
      <c r="D1259" t="s">
        <v>44</v>
      </c>
      <c r="E1259" t="s">
        <v>65</v>
      </c>
      <c r="F1259">
        <v>4199953</v>
      </c>
      <c r="G1259">
        <v>98306</v>
      </c>
    </row>
    <row r="1260" spans="2:7" x14ac:dyDescent="0.3">
      <c r="B1260" t="str">
        <f t="shared" si="38"/>
        <v>82o</v>
      </c>
      <c r="C1260" t="str">
        <f t="shared" si="39"/>
        <v>8S 2D</v>
      </c>
      <c r="D1260" t="s">
        <v>44</v>
      </c>
      <c r="E1260" t="s">
        <v>66</v>
      </c>
      <c r="F1260">
        <v>4199953</v>
      </c>
      <c r="G1260">
        <v>81922</v>
      </c>
    </row>
    <row r="1261" spans="2:7" x14ac:dyDescent="0.3">
      <c r="B1261" t="str">
        <f t="shared" si="38"/>
        <v>82o</v>
      </c>
      <c r="C1261" t="str">
        <f t="shared" si="39"/>
        <v>8S 2H</v>
      </c>
      <c r="D1261" t="s">
        <v>44</v>
      </c>
      <c r="E1261" t="s">
        <v>67</v>
      </c>
      <c r="F1261">
        <v>4199953</v>
      </c>
      <c r="G1261">
        <v>73730</v>
      </c>
    </row>
    <row r="1262" spans="2:7" x14ac:dyDescent="0.3">
      <c r="B1262" t="str">
        <f t="shared" si="38"/>
        <v>72o</v>
      </c>
      <c r="C1262" t="str">
        <f t="shared" si="39"/>
        <v>7C 2D</v>
      </c>
      <c r="D1262" t="s">
        <v>45</v>
      </c>
      <c r="E1262" t="s">
        <v>66</v>
      </c>
      <c r="F1262">
        <v>2131213</v>
      </c>
      <c r="G1262">
        <v>81922</v>
      </c>
    </row>
    <row r="1263" spans="2:7" x14ac:dyDescent="0.3">
      <c r="B1263" t="str">
        <f t="shared" si="38"/>
        <v>72o</v>
      </c>
      <c r="C1263" t="str">
        <f t="shared" si="39"/>
        <v>7C 2H</v>
      </c>
      <c r="D1263" t="s">
        <v>45</v>
      </c>
      <c r="E1263" t="s">
        <v>67</v>
      </c>
      <c r="F1263">
        <v>2131213</v>
      </c>
      <c r="G1263">
        <v>73730</v>
      </c>
    </row>
    <row r="1264" spans="2:7" x14ac:dyDescent="0.3">
      <c r="B1264" t="str">
        <f t="shared" si="38"/>
        <v>72o</v>
      </c>
      <c r="C1264" t="str">
        <f t="shared" si="39"/>
        <v>7C 2S</v>
      </c>
      <c r="D1264" t="s">
        <v>45</v>
      </c>
      <c r="E1264" t="s">
        <v>68</v>
      </c>
      <c r="F1264">
        <v>2131213</v>
      </c>
      <c r="G1264">
        <v>69634</v>
      </c>
    </row>
    <row r="1265" spans="2:7" x14ac:dyDescent="0.3">
      <c r="B1265" t="str">
        <f t="shared" si="38"/>
        <v>72o</v>
      </c>
      <c r="C1265" t="str">
        <f t="shared" si="39"/>
        <v>7D 2C</v>
      </c>
      <c r="D1265" t="s">
        <v>46</v>
      </c>
      <c r="E1265" t="s">
        <v>65</v>
      </c>
      <c r="F1265">
        <v>2114829</v>
      </c>
      <c r="G1265">
        <v>98306</v>
      </c>
    </row>
    <row r="1266" spans="2:7" x14ac:dyDescent="0.3">
      <c r="B1266" t="str">
        <f t="shared" si="38"/>
        <v>72o</v>
      </c>
      <c r="C1266" t="str">
        <f t="shared" si="39"/>
        <v>7D 2H</v>
      </c>
      <c r="D1266" t="s">
        <v>46</v>
      </c>
      <c r="E1266" t="s">
        <v>67</v>
      </c>
      <c r="F1266">
        <v>2114829</v>
      </c>
      <c r="G1266">
        <v>73730</v>
      </c>
    </row>
    <row r="1267" spans="2:7" x14ac:dyDescent="0.3">
      <c r="B1267" t="str">
        <f t="shared" si="38"/>
        <v>72o</v>
      </c>
      <c r="C1267" t="str">
        <f t="shared" si="39"/>
        <v>7D 2S</v>
      </c>
      <c r="D1267" t="s">
        <v>46</v>
      </c>
      <c r="E1267" t="s">
        <v>68</v>
      </c>
      <c r="F1267">
        <v>2114829</v>
      </c>
      <c r="G1267">
        <v>69634</v>
      </c>
    </row>
    <row r="1268" spans="2:7" x14ac:dyDescent="0.3">
      <c r="B1268" t="str">
        <f t="shared" si="38"/>
        <v>72o</v>
      </c>
      <c r="C1268" t="str">
        <f t="shared" si="39"/>
        <v>7H 2C</v>
      </c>
      <c r="D1268" t="s">
        <v>47</v>
      </c>
      <c r="E1268" t="s">
        <v>65</v>
      </c>
      <c r="F1268">
        <v>2106637</v>
      </c>
      <c r="G1268">
        <v>98306</v>
      </c>
    </row>
    <row r="1269" spans="2:7" x14ac:dyDescent="0.3">
      <c r="B1269" t="str">
        <f t="shared" si="38"/>
        <v>72o</v>
      </c>
      <c r="C1269" t="str">
        <f t="shared" si="39"/>
        <v>7H 2D</v>
      </c>
      <c r="D1269" t="s">
        <v>47</v>
      </c>
      <c r="E1269" t="s">
        <v>66</v>
      </c>
      <c r="F1269">
        <v>2106637</v>
      </c>
      <c r="G1269">
        <v>81922</v>
      </c>
    </row>
    <row r="1270" spans="2:7" x14ac:dyDescent="0.3">
      <c r="B1270" t="str">
        <f t="shared" si="38"/>
        <v>72o</v>
      </c>
      <c r="C1270" t="str">
        <f t="shared" si="39"/>
        <v>7H 2S</v>
      </c>
      <c r="D1270" t="s">
        <v>47</v>
      </c>
      <c r="E1270" t="s">
        <v>68</v>
      </c>
      <c r="F1270">
        <v>2106637</v>
      </c>
      <c r="G1270">
        <v>69634</v>
      </c>
    </row>
    <row r="1271" spans="2:7" x14ac:dyDescent="0.3">
      <c r="B1271" t="str">
        <f t="shared" si="38"/>
        <v>72o</v>
      </c>
      <c r="C1271" t="str">
        <f t="shared" si="39"/>
        <v>7S 2C</v>
      </c>
      <c r="D1271" t="s">
        <v>48</v>
      </c>
      <c r="E1271" t="s">
        <v>65</v>
      </c>
      <c r="F1271">
        <v>2102541</v>
      </c>
      <c r="G1271">
        <v>98306</v>
      </c>
    </row>
    <row r="1272" spans="2:7" x14ac:dyDescent="0.3">
      <c r="B1272" t="str">
        <f t="shared" si="38"/>
        <v>72o</v>
      </c>
      <c r="C1272" t="str">
        <f t="shared" si="39"/>
        <v>7S 2D</v>
      </c>
      <c r="D1272" t="s">
        <v>48</v>
      </c>
      <c r="E1272" t="s">
        <v>66</v>
      </c>
      <c r="F1272">
        <v>2102541</v>
      </c>
      <c r="G1272">
        <v>81922</v>
      </c>
    </row>
    <row r="1273" spans="2:7" x14ac:dyDescent="0.3">
      <c r="B1273" t="str">
        <f t="shared" si="38"/>
        <v>72o</v>
      </c>
      <c r="C1273" t="str">
        <f t="shared" si="39"/>
        <v>7S 2H</v>
      </c>
      <c r="D1273" t="s">
        <v>48</v>
      </c>
      <c r="E1273" t="s">
        <v>67</v>
      </c>
      <c r="F1273">
        <v>2102541</v>
      </c>
      <c r="G1273">
        <v>73730</v>
      </c>
    </row>
    <row r="1274" spans="2:7" x14ac:dyDescent="0.3">
      <c r="B1274" t="str">
        <f t="shared" si="38"/>
        <v>62o</v>
      </c>
      <c r="C1274" t="str">
        <f t="shared" si="39"/>
        <v>6C 2D</v>
      </c>
      <c r="D1274" t="s">
        <v>49</v>
      </c>
      <c r="E1274" t="s">
        <v>66</v>
      </c>
      <c r="F1274">
        <v>1082379</v>
      </c>
      <c r="G1274">
        <v>81922</v>
      </c>
    </row>
    <row r="1275" spans="2:7" x14ac:dyDescent="0.3">
      <c r="B1275" t="str">
        <f t="shared" si="38"/>
        <v>62o</v>
      </c>
      <c r="C1275" t="str">
        <f t="shared" si="39"/>
        <v>6C 2H</v>
      </c>
      <c r="D1275" t="s">
        <v>49</v>
      </c>
      <c r="E1275" t="s">
        <v>67</v>
      </c>
      <c r="F1275">
        <v>1082379</v>
      </c>
      <c r="G1275">
        <v>73730</v>
      </c>
    </row>
    <row r="1276" spans="2:7" x14ac:dyDescent="0.3">
      <c r="B1276" t="str">
        <f t="shared" si="38"/>
        <v>62o</v>
      </c>
      <c r="C1276" t="str">
        <f t="shared" si="39"/>
        <v>6C 2S</v>
      </c>
      <c r="D1276" t="s">
        <v>49</v>
      </c>
      <c r="E1276" t="s">
        <v>68</v>
      </c>
      <c r="F1276">
        <v>1082379</v>
      </c>
      <c r="G1276">
        <v>69634</v>
      </c>
    </row>
    <row r="1277" spans="2:7" x14ac:dyDescent="0.3">
      <c r="B1277" t="str">
        <f t="shared" si="38"/>
        <v>62o</v>
      </c>
      <c r="C1277" t="str">
        <f t="shared" si="39"/>
        <v>6D 2C</v>
      </c>
      <c r="D1277" t="s">
        <v>50</v>
      </c>
      <c r="E1277" t="s">
        <v>65</v>
      </c>
      <c r="F1277">
        <v>1065995</v>
      </c>
      <c r="G1277">
        <v>98306</v>
      </c>
    </row>
    <row r="1278" spans="2:7" x14ac:dyDescent="0.3">
      <c r="B1278" t="str">
        <f t="shared" si="38"/>
        <v>62o</v>
      </c>
      <c r="C1278" t="str">
        <f t="shared" si="39"/>
        <v>6D 2H</v>
      </c>
      <c r="D1278" t="s">
        <v>50</v>
      </c>
      <c r="E1278" t="s">
        <v>67</v>
      </c>
      <c r="F1278">
        <v>1065995</v>
      </c>
      <c r="G1278">
        <v>73730</v>
      </c>
    </row>
    <row r="1279" spans="2:7" x14ac:dyDescent="0.3">
      <c r="B1279" t="str">
        <f t="shared" si="38"/>
        <v>62o</v>
      </c>
      <c r="C1279" t="str">
        <f t="shared" si="39"/>
        <v>6D 2S</v>
      </c>
      <c r="D1279" t="s">
        <v>50</v>
      </c>
      <c r="E1279" t="s">
        <v>68</v>
      </c>
      <c r="F1279">
        <v>1065995</v>
      </c>
      <c r="G1279">
        <v>69634</v>
      </c>
    </row>
    <row r="1280" spans="2:7" x14ac:dyDescent="0.3">
      <c r="B1280" t="str">
        <f t="shared" si="38"/>
        <v>62o</v>
      </c>
      <c r="C1280" t="str">
        <f t="shared" si="39"/>
        <v>6H 2C</v>
      </c>
      <c r="D1280" t="s">
        <v>51</v>
      </c>
      <c r="E1280" t="s">
        <v>65</v>
      </c>
      <c r="F1280">
        <v>1057803</v>
      </c>
      <c r="G1280">
        <v>98306</v>
      </c>
    </row>
    <row r="1281" spans="2:7" x14ac:dyDescent="0.3">
      <c r="B1281" t="str">
        <f t="shared" si="38"/>
        <v>62o</v>
      </c>
      <c r="C1281" t="str">
        <f t="shared" si="39"/>
        <v>6H 2D</v>
      </c>
      <c r="D1281" t="s">
        <v>51</v>
      </c>
      <c r="E1281" t="s">
        <v>66</v>
      </c>
      <c r="F1281">
        <v>1057803</v>
      </c>
      <c r="G1281">
        <v>81922</v>
      </c>
    </row>
    <row r="1282" spans="2:7" x14ac:dyDescent="0.3">
      <c r="B1282" t="str">
        <f t="shared" si="38"/>
        <v>62o</v>
      </c>
      <c r="C1282" t="str">
        <f t="shared" si="39"/>
        <v>6H 2S</v>
      </c>
      <c r="D1282" t="s">
        <v>51</v>
      </c>
      <c r="E1282" t="s">
        <v>68</v>
      </c>
      <c r="F1282">
        <v>1057803</v>
      </c>
      <c r="G1282">
        <v>69634</v>
      </c>
    </row>
    <row r="1283" spans="2:7" x14ac:dyDescent="0.3">
      <c r="B1283" t="str">
        <f t="shared" ref="B1283:B1327" si="40">LEFT(D1283,1)&amp;LEFT(E1283,1)&amp;IF(LEFT(D1283,1)=LEFT(E1283,1), "", IF(RIGHT(D1283,1)=RIGHT(E1283,1), "s", "o"))</f>
        <v>62o</v>
      </c>
      <c r="C1283" t="str">
        <f t="shared" ref="C1283:C1327" si="41">UPPER(D1283&amp;" "&amp;E1283)</f>
        <v>6S 2C</v>
      </c>
      <c r="D1283" t="s">
        <v>52</v>
      </c>
      <c r="E1283" t="s">
        <v>65</v>
      </c>
      <c r="F1283">
        <v>1053707</v>
      </c>
      <c r="G1283">
        <v>98306</v>
      </c>
    </row>
    <row r="1284" spans="2:7" x14ac:dyDescent="0.3">
      <c r="B1284" t="str">
        <f t="shared" si="40"/>
        <v>62o</v>
      </c>
      <c r="C1284" t="str">
        <f t="shared" si="41"/>
        <v>6S 2D</v>
      </c>
      <c r="D1284" t="s">
        <v>52</v>
      </c>
      <c r="E1284" t="s">
        <v>66</v>
      </c>
      <c r="F1284">
        <v>1053707</v>
      </c>
      <c r="G1284">
        <v>81922</v>
      </c>
    </row>
    <row r="1285" spans="2:7" x14ac:dyDescent="0.3">
      <c r="B1285" t="str">
        <f t="shared" si="40"/>
        <v>62o</v>
      </c>
      <c r="C1285" t="str">
        <f t="shared" si="41"/>
        <v>6S 2H</v>
      </c>
      <c r="D1285" t="s">
        <v>52</v>
      </c>
      <c r="E1285" t="s">
        <v>67</v>
      </c>
      <c r="F1285">
        <v>1053707</v>
      </c>
      <c r="G1285">
        <v>73730</v>
      </c>
    </row>
    <row r="1286" spans="2:7" x14ac:dyDescent="0.3">
      <c r="B1286" t="str">
        <f t="shared" si="40"/>
        <v>52o</v>
      </c>
      <c r="C1286" t="str">
        <f t="shared" si="41"/>
        <v>5C 2D</v>
      </c>
      <c r="D1286" t="s">
        <v>53</v>
      </c>
      <c r="E1286" t="s">
        <v>66</v>
      </c>
      <c r="F1286">
        <v>557831</v>
      </c>
      <c r="G1286">
        <v>81922</v>
      </c>
    </row>
    <row r="1287" spans="2:7" x14ac:dyDescent="0.3">
      <c r="B1287" t="str">
        <f t="shared" si="40"/>
        <v>52o</v>
      </c>
      <c r="C1287" t="str">
        <f t="shared" si="41"/>
        <v>5C 2H</v>
      </c>
      <c r="D1287" t="s">
        <v>53</v>
      </c>
      <c r="E1287" t="s">
        <v>67</v>
      </c>
      <c r="F1287">
        <v>557831</v>
      </c>
      <c r="G1287">
        <v>73730</v>
      </c>
    </row>
    <row r="1288" spans="2:7" x14ac:dyDescent="0.3">
      <c r="B1288" t="str">
        <f t="shared" si="40"/>
        <v>52o</v>
      </c>
      <c r="C1288" t="str">
        <f t="shared" si="41"/>
        <v>5C 2S</v>
      </c>
      <c r="D1288" t="s">
        <v>53</v>
      </c>
      <c r="E1288" t="s">
        <v>68</v>
      </c>
      <c r="F1288">
        <v>557831</v>
      </c>
      <c r="G1288">
        <v>69634</v>
      </c>
    </row>
    <row r="1289" spans="2:7" x14ac:dyDescent="0.3">
      <c r="B1289" t="str">
        <f t="shared" si="40"/>
        <v>52o</v>
      </c>
      <c r="C1289" t="str">
        <f t="shared" si="41"/>
        <v>5D 2C</v>
      </c>
      <c r="D1289" t="s">
        <v>54</v>
      </c>
      <c r="E1289" t="s">
        <v>65</v>
      </c>
      <c r="F1289">
        <v>541447</v>
      </c>
      <c r="G1289">
        <v>98306</v>
      </c>
    </row>
    <row r="1290" spans="2:7" x14ac:dyDescent="0.3">
      <c r="B1290" t="str">
        <f t="shared" si="40"/>
        <v>52o</v>
      </c>
      <c r="C1290" t="str">
        <f t="shared" si="41"/>
        <v>5D 2H</v>
      </c>
      <c r="D1290" t="s">
        <v>54</v>
      </c>
      <c r="E1290" t="s">
        <v>67</v>
      </c>
      <c r="F1290">
        <v>541447</v>
      </c>
      <c r="G1290">
        <v>73730</v>
      </c>
    </row>
    <row r="1291" spans="2:7" x14ac:dyDescent="0.3">
      <c r="B1291" t="str">
        <f t="shared" si="40"/>
        <v>52o</v>
      </c>
      <c r="C1291" t="str">
        <f t="shared" si="41"/>
        <v>5D 2S</v>
      </c>
      <c r="D1291" t="s">
        <v>54</v>
      </c>
      <c r="E1291" t="s">
        <v>68</v>
      </c>
      <c r="F1291">
        <v>541447</v>
      </c>
      <c r="G1291">
        <v>69634</v>
      </c>
    </row>
    <row r="1292" spans="2:7" x14ac:dyDescent="0.3">
      <c r="B1292" t="str">
        <f t="shared" si="40"/>
        <v>52o</v>
      </c>
      <c r="C1292" t="str">
        <f t="shared" si="41"/>
        <v>5H 2C</v>
      </c>
      <c r="D1292" t="s">
        <v>55</v>
      </c>
      <c r="E1292" t="s">
        <v>65</v>
      </c>
      <c r="F1292">
        <v>533255</v>
      </c>
      <c r="G1292">
        <v>98306</v>
      </c>
    </row>
    <row r="1293" spans="2:7" x14ac:dyDescent="0.3">
      <c r="B1293" t="str">
        <f t="shared" si="40"/>
        <v>52o</v>
      </c>
      <c r="C1293" t="str">
        <f t="shared" si="41"/>
        <v>5H 2D</v>
      </c>
      <c r="D1293" t="s">
        <v>55</v>
      </c>
      <c r="E1293" t="s">
        <v>66</v>
      </c>
      <c r="F1293">
        <v>533255</v>
      </c>
      <c r="G1293">
        <v>81922</v>
      </c>
    </row>
    <row r="1294" spans="2:7" x14ac:dyDescent="0.3">
      <c r="B1294" t="str">
        <f t="shared" si="40"/>
        <v>52o</v>
      </c>
      <c r="C1294" t="str">
        <f t="shared" si="41"/>
        <v>5H 2S</v>
      </c>
      <c r="D1294" t="s">
        <v>55</v>
      </c>
      <c r="E1294" t="s">
        <v>68</v>
      </c>
      <c r="F1294">
        <v>533255</v>
      </c>
      <c r="G1294">
        <v>69634</v>
      </c>
    </row>
    <row r="1295" spans="2:7" x14ac:dyDescent="0.3">
      <c r="B1295" t="str">
        <f t="shared" si="40"/>
        <v>52o</v>
      </c>
      <c r="C1295" t="str">
        <f t="shared" si="41"/>
        <v>5S 2C</v>
      </c>
      <c r="D1295" t="s">
        <v>56</v>
      </c>
      <c r="E1295" t="s">
        <v>65</v>
      </c>
      <c r="F1295">
        <v>529159</v>
      </c>
      <c r="G1295">
        <v>98306</v>
      </c>
    </row>
    <row r="1296" spans="2:7" x14ac:dyDescent="0.3">
      <c r="B1296" t="str">
        <f t="shared" si="40"/>
        <v>52o</v>
      </c>
      <c r="C1296" t="str">
        <f t="shared" si="41"/>
        <v>5S 2D</v>
      </c>
      <c r="D1296" t="s">
        <v>56</v>
      </c>
      <c r="E1296" t="s">
        <v>66</v>
      </c>
      <c r="F1296">
        <v>529159</v>
      </c>
      <c r="G1296">
        <v>81922</v>
      </c>
    </row>
    <row r="1297" spans="2:7" x14ac:dyDescent="0.3">
      <c r="B1297" t="str">
        <f t="shared" si="40"/>
        <v>52o</v>
      </c>
      <c r="C1297" t="str">
        <f t="shared" si="41"/>
        <v>5S 2H</v>
      </c>
      <c r="D1297" t="s">
        <v>56</v>
      </c>
      <c r="E1297" t="s">
        <v>67</v>
      </c>
      <c r="F1297">
        <v>529159</v>
      </c>
      <c r="G1297">
        <v>73730</v>
      </c>
    </row>
    <row r="1298" spans="2:7" x14ac:dyDescent="0.3">
      <c r="B1298" t="str">
        <f t="shared" si="40"/>
        <v>42o</v>
      </c>
      <c r="C1298" t="str">
        <f t="shared" si="41"/>
        <v>4C 2D</v>
      </c>
      <c r="D1298" t="s">
        <v>57</v>
      </c>
      <c r="E1298" t="s">
        <v>66</v>
      </c>
      <c r="F1298">
        <v>295429</v>
      </c>
      <c r="G1298">
        <v>81922</v>
      </c>
    </row>
    <row r="1299" spans="2:7" x14ac:dyDescent="0.3">
      <c r="B1299" t="str">
        <f t="shared" si="40"/>
        <v>42o</v>
      </c>
      <c r="C1299" t="str">
        <f t="shared" si="41"/>
        <v>4C 2H</v>
      </c>
      <c r="D1299" t="s">
        <v>57</v>
      </c>
      <c r="E1299" t="s">
        <v>67</v>
      </c>
      <c r="F1299">
        <v>295429</v>
      </c>
      <c r="G1299">
        <v>73730</v>
      </c>
    </row>
    <row r="1300" spans="2:7" x14ac:dyDescent="0.3">
      <c r="B1300" t="str">
        <f t="shared" si="40"/>
        <v>42o</v>
      </c>
      <c r="C1300" t="str">
        <f t="shared" si="41"/>
        <v>4C 2S</v>
      </c>
      <c r="D1300" t="s">
        <v>57</v>
      </c>
      <c r="E1300" t="s">
        <v>68</v>
      </c>
      <c r="F1300">
        <v>295429</v>
      </c>
      <c r="G1300">
        <v>69634</v>
      </c>
    </row>
    <row r="1301" spans="2:7" x14ac:dyDescent="0.3">
      <c r="B1301" t="str">
        <f t="shared" si="40"/>
        <v>42o</v>
      </c>
      <c r="C1301" t="str">
        <f t="shared" si="41"/>
        <v>4D 2C</v>
      </c>
      <c r="D1301" t="s">
        <v>58</v>
      </c>
      <c r="E1301" t="s">
        <v>65</v>
      </c>
      <c r="F1301">
        <v>279045</v>
      </c>
      <c r="G1301">
        <v>98306</v>
      </c>
    </row>
    <row r="1302" spans="2:7" x14ac:dyDescent="0.3">
      <c r="B1302" t="str">
        <f t="shared" si="40"/>
        <v>42o</v>
      </c>
      <c r="C1302" t="str">
        <f t="shared" si="41"/>
        <v>4D 2H</v>
      </c>
      <c r="D1302" t="s">
        <v>58</v>
      </c>
      <c r="E1302" t="s">
        <v>67</v>
      </c>
      <c r="F1302">
        <v>279045</v>
      </c>
      <c r="G1302">
        <v>73730</v>
      </c>
    </row>
    <row r="1303" spans="2:7" x14ac:dyDescent="0.3">
      <c r="B1303" t="str">
        <f t="shared" si="40"/>
        <v>42o</v>
      </c>
      <c r="C1303" t="str">
        <f t="shared" si="41"/>
        <v>4D 2S</v>
      </c>
      <c r="D1303" t="s">
        <v>58</v>
      </c>
      <c r="E1303" t="s">
        <v>68</v>
      </c>
      <c r="F1303">
        <v>279045</v>
      </c>
      <c r="G1303">
        <v>69634</v>
      </c>
    </row>
    <row r="1304" spans="2:7" x14ac:dyDescent="0.3">
      <c r="B1304" t="str">
        <f t="shared" si="40"/>
        <v>42o</v>
      </c>
      <c r="C1304" t="str">
        <f t="shared" si="41"/>
        <v>4H 2C</v>
      </c>
      <c r="D1304" t="s">
        <v>59</v>
      </c>
      <c r="E1304" t="s">
        <v>65</v>
      </c>
      <c r="F1304">
        <v>270853</v>
      </c>
      <c r="G1304">
        <v>98306</v>
      </c>
    </row>
    <row r="1305" spans="2:7" x14ac:dyDescent="0.3">
      <c r="B1305" t="str">
        <f t="shared" si="40"/>
        <v>42o</v>
      </c>
      <c r="C1305" t="str">
        <f t="shared" si="41"/>
        <v>4H 2D</v>
      </c>
      <c r="D1305" t="s">
        <v>59</v>
      </c>
      <c r="E1305" t="s">
        <v>66</v>
      </c>
      <c r="F1305">
        <v>270853</v>
      </c>
      <c r="G1305">
        <v>81922</v>
      </c>
    </row>
    <row r="1306" spans="2:7" x14ac:dyDescent="0.3">
      <c r="B1306" t="str">
        <f t="shared" si="40"/>
        <v>42o</v>
      </c>
      <c r="C1306" t="str">
        <f t="shared" si="41"/>
        <v>4H 2S</v>
      </c>
      <c r="D1306" t="s">
        <v>59</v>
      </c>
      <c r="E1306" t="s">
        <v>68</v>
      </c>
      <c r="F1306">
        <v>270853</v>
      </c>
      <c r="G1306">
        <v>69634</v>
      </c>
    </row>
    <row r="1307" spans="2:7" x14ac:dyDescent="0.3">
      <c r="B1307" t="str">
        <f t="shared" si="40"/>
        <v>42o</v>
      </c>
      <c r="C1307" t="str">
        <f t="shared" si="41"/>
        <v>4S 2C</v>
      </c>
      <c r="D1307" t="s">
        <v>60</v>
      </c>
      <c r="E1307" t="s">
        <v>65</v>
      </c>
      <c r="F1307">
        <v>266757</v>
      </c>
      <c r="G1307">
        <v>98306</v>
      </c>
    </row>
    <row r="1308" spans="2:7" x14ac:dyDescent="0.3">
      <c r="B1308" t="str">
        <f t="shared" si="40"/>
        <v>42o</v>
      </c>
      <c r="C1308" t="str">
        <f t="shared" si="41"/>
        <v>4S 2D</v>
      </c>
      <c r="D1308" t="s">
        <v>60</v>
      </c>
      <c r="E1308" t="s">
        <v>66</v>
      </c>
      <c r="F1308">
        <v>266757</v>
      </c>
      <c r="G1308">
        <v>81922</v>
      </c>
    </row>
    <row r="1309" spans="2:7" x14ac:dyDescent="0.3">
      <c r="B1309" t="str">
        <f t="shared" si="40"/>
        <v>42o</v>
      </c>
      <c r="C1309" t="str">
        <f t="shared" si="41"/>
        <v>4S 2H</v>
      </c>
      <c r="D1309" t="s">
        <v>60</v>
      </c>
      <c r="E1309" t="s">
        <v>67</v>
      </c>
      <c r="F1309">
        <v>266757</v>
      </c>
      <c r="G1309">
        <v>73730</v>
      </c>
    </row>
    <row r="1310" spans="2:7" x14ac:dyDescent="0.3">
      <c r="B1310" t="str">
        <f t="shared" si="40"/>
        <v>32o</v>
      </c>
      <c r="C1310" t="str">
        <f t="shared" si="41"/>
        <v>3C 2D</v>
      </c>
      <c r="D1310" t="s">
        <v>61</v>
      </c>
      <c r="E1310" t="s">
        <v>66</v>
      </c>
      <c r="F1310">
        <v>164099</v>
      </c>
      <c r="G1310">
        <v>81922</v>
      </c>
    </row>
    <row r="1311" spans="2:7" x14ac:dyDescent="0.3">
      <c r="B1311" t="str">
        <f t="shared" si="40"/>
        <v>32o</v>
      </c>
      <c r="C1311" t="str">
        <f t="shared" si="41"/>
        <v>3C 2H</v>
      </c>
      <c r="D1311" t="s">
        <v>61</v>
      </c>
      <c r="E1311" t="s">
        <v>67</v>
      </c>
      <c r="F1311">
        <v>164099</v>
      </c>
      <c r="G1311">
        <v>73730</v>
      </c>
    </row>
    <row r="1312" spans="2:7" x14ac:dyDescent="0.3">
      <c r="B1312" t="str">
        <f t="shared" si="40"/>
        <v>32o</v>
      </c>
      <c r="C1312" t="str">
        <f t="shared" si="41"/>
        <v>3C 2S</v>
      </c>
      <c r="D1312" t="s">
        <v>61</v>
      </c>
      <c r="E1312" t="s">
        <v>68</v>
      </c>
      <c r="F1312">
        <v>164099</v>
      </c>
      <c r="G1312">
        <v>69634</v>
      </c>
    </row>
    <row r="1313" spans="2:7" x14ac:dyDescent="0.3">
      <c r="B1313" t="str">
        <f t="shared" si="40"/>
        <v>32o</v>
      </c>
      <c r="C1313" t="str">
        <f t="shared" si="41"/>
        <v>3D 2C</v>
      </c>
      <c r="D1313" t="s">
        <v>62</v>
      </c>
      <c r="E1313" t="s">
        <v>65</v>
      </c>
      <c r="F1313">
        <v>147715</v>
      </c>
      <c r="G1313">
        <v>98306</v>
      </c>
    </row>
    <row r="1314" spans="2:7" x14ac:dyDescent="0.3">
      <c r="B1314" t="str">
        <f t="shared" si="40"/>
        <v>32o</v>
      </c>
      <c r="C1314" t="str">
        <f t="shared" si="41"/>
        <v>3D 2H</v>
      </c>
      <c r="D1314" t="s">
        <v>62</v>
      </c>
      <c r="E1314" t="s">
        <v>67</v>
      </c>
      <c r="F1314">
        <v>147715</v>
      </c>
      <c r="G1314">
        <v>73730</v>
      </c>
    </row>
    <row r="1315" spans="2:7" x14ac:dyDescent="0.3">
      <c r="B1315" t="str">
        <f t="shared" si="40"/>
        <v>32o</v>
      </c>
      <c r="C1315" t="str">
        <f t="shared" si="41"/>
        <v>3D 2S</v>
      </c>
      <c r="D1315" t="s">
        <v>62</v>
      </c>
      <c r="E1315" t="s">
        <v>68</v>
      </c>
      <c r="F1315">
        <v>147715</v>
      </c>
      <c r="G1315">
        <v>69634</v>
      </c>
    </row>
    <row r="1316" spans="2:7" x14ac:dyDescent="0.3">
      <c r="B1316" t="str">
        <f t="shared" si="40"/>
        <v>32o</v>
      </c>
      <c r="C1316" t="str">
        <f t="shared" si="41"/>
        <v>3H 2C</v>
      </c>
      <c r="D1316" t="s">
        <v>63</v>
      </c>
      <c r="E1316" t="s">
        <v>65</v>
      </c>
      <c r="F1316">
        <v>139523</v>
      </c>
      <c r="G1316">
        <v>98306</v>
      </c>
    </row>
    <row r="1317" spans="2:7" x14ac:dyDescent="0.3">
      <c r="B1317" t="str">
        <f t="shared" si="40"/>
        <v>32o</v>
      </c>
      <c r="C1317" t="str">
        <f t="shared" si="41"/>
        <v>3H 2D</v>
      </c>
      <c r="D1317" t="s">
        <v>63</v>
      </c>
      <c r="E1317" t="s">
        <v>66</v>
      </c>
      <c r="F1317">
        <v>139523</v>
      </c>
      <c r="G1317">
        <v>81922</v>
      </c>
    </row>
    <row r="1318" spans="2:7" x14ac:dyDescent="0.3">
      <c r="B1318" t="str">
        <f t="shared" si="40"/>
        <v>32o</v>
      </c>
      <c r="C1318" t="str">
        <f t="shared" si="41"/>
        <v>3H 2S</v>
      </c>
      <c r="D1318" t="s">
        <v>63</v>
      </c>
      <c r="E1318" t="s">
        <v>68</v>
      </c>
      <c r="F1318">
        <v>139523</v>
      </c>
      <c r="G1318">
        <v>69634</v>
      </c>
    </row>
    <row r="1319" spans="2:7" x14ac:dyDescent="0.3">
      <c r="B1319" t="str">
        <f t="shared" si="40"/>
        <v>32o</v>
      </c>
      <c r="C1319" t="str">
        <f t="shared" si="41"/>
        <v>3S 2C</v>
      </c>
      <c r="D1319" t="s">
        <v>64</v>
      </c>
      <c r="E1319" t="s">
        <v>65</v>
      </c>
      <c r="F1319">
        <v>135427</v>
      </c>
      <c r="G1319">
        <v>98306</v>
      </c>
    </row>
    <row r="1320" spans="2:7" x14ac:dyDescent="0.3">
      <c r="B1320" t="str">
        <f t="shared" si="40"/>
        <v>32o</v>
      </c>
      <c r="C1320" t="str">
        <f t="shared" si="41"/>
        <v>3S 2D</v>
      </c>
      <c r="D1320" t="s">
        <v>64</v>
      </c>
      <c r="E1320" t="s">
        <v>66</v>
      </c>
      <c r="F1320">
        <v>135427</v>
      </c>
      <c r="G1320">
        <v>81922</v>
      </c>
    </row>
    <row r="1321" spans="2:7" x14ac:dyDescent="0.3">
      <c r="B1321" t="str">
        <f t="shared" si="40"/>
        <v>32o</v>
      </c>
      <c r="C1321" t="str">
        <f t="shared" si="41"/>
        <v>3S 2H</v>
      </c>
      <c r="D1321" t="s">
        <v>64</v>
      </c>
      <c r="E1321" t="s">
        <v>67</v>
      </c>
      <c r="F1321">
        <v>135427</v>
      </c>
      <c r="G1321">
        <v>73730</v>
      </c>
    </row>
    <row r="1322" spans="2:7" x14ac:dyDescent="0.3">
      <c r="B1322" t="str">
        <f t="shared" si="40"/>
        <v>22</v>
      </c>
      <c r="C1322" t="str">
        <f t="shared" si="41"/>
        <v>2C 2D</v>
      </c>
      <c r="D1322" t="s">
        <v>65</v>
      </c>
      <c r="E1322" t="s">
        <v>66</v>
      </c>
      <c r="F1322">
        <v>98306</v>
      </c>
      <c r="G1322">
        <v>81922</v>
      </c>
    </row>
    <row r="1323" spans="2:7" x14ac:dyDescent="0.3">
      <c r="B1323" t="str">
        <f t="shared" si="40"/>
        <v>22</v>
      </c>
      <c r="C1323" t="str">
        <f t="shared" si="41"/>
        <v>2C 2H</v>
      </c>
      <c r="D1323" t="s">
        <v>65</v>
      </c>
      <c r="E1323" t="s">
        <v>67</v>
      </c>
      <c r="F1323">
        <v>98306</v>
      </c>
      <c r="G1323">
        <v>73730</v>
      </c>
    </row>
    <row r="1324" spans="2:7" x14ac:dyDescent="0.3">
      <c r="B1324" t="str">
        <f t="shared" si="40"/>
        <v>22</v>
      </c>
      <c r="C1324" t="str">
        <f t="shared" si="41"/>
        <v>2C 2S</v>
      </c>
      <c r="D1324" t="s">
        <v>65</v>
      </c>
      <c r="E1324" t="s">
        <v>68</v>
      </c>
      <c r="F1324">
        <v>98306</v>
      </c>
      <c r="G1324">
        <v>69634</v>
      </c>
    </row>
    <row r="1325" spans="2:7" x14ac:dyDescent="0.3">
      <c r="B1325" t="str">
        <f t="shared" si="40"/>
        <v>22</v>
      </c>
      <c r="C1325" t="str">
        <f t="shared" si="41"/>
        <v>2D 2H</v>
      </c>
      <c r="D1325" t="s">
        <v>66</v>
      </c>
      <c r="E1325" t="s">
        <v>67</v>
      </c>
      <c r="F1325">
        <v>81922</v>
      </c>
      <c r="G1325">
        <v>73730</v>
      </c>
    </row>
    <row r="1326" spans="2:7" x14ac:dyDescent="0.3">
      <c r="B1326" t="str">
        <f t="shared" si="40"/>
        <v>22</v>
      </c>
      <c r="C1326" t="str">
        <f t="shared" si="41"/>
        <v>2D 2S</v>
      </c>
      <c r="D1326" t="s">
        <v>66</v>
      </c>
      <c r="E1326" t="s">
        <v>68</v>
      </c>
      <c r="F1326">
        <v>81922</v>
      </c>
      <c r="G1326">
        <v>69634</v>
      </c>
    </row>
    <row r="1327" spans="2:7" x14ac:dyDescent="0.3">
      <c r="B1327" t="str">
        <f t="shared" si="40"/>
        <v>22</v>
      </c>
      <c r="C1327" t="str">
        <f t="shared" si="41"/>
        <v>2H 2S</v>
      </c>
      <c r="D1327" t="s">
        <v>67</v>
      </c>
      <c r="E1327" t="s">
        <v>68</v>
      </c>
      <c r="F1327">
        <v>73730</v>
      </c>
      <c r="G1327">
        <v>69634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3"/>
  <sheetViews>
    <sheetView workbookViewId="0">
      <selection activeCell="D10" sqref="D10"/>
    </sheetView>
  </sheetViews>
  <sheetFormatPr defaultRowHeight="14.4" x14ac:dyDescent="0.3"/>
  <sheetData>
    <row r="3" spans="2:2" x14ac:dyDescent="0.3">
      <c r="B3" t="s">
        <v>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53"/>
  <sheetViews>
    <sheetView workbookViewId="0">
      <selection activeCell="I10" sqref="I10"/>
    </sheetView>
  </sheetViews>
  <sheetFormatPr defaultRowHeight="14.4" x14ac:dyDescent="0.3"/>
  <cols>
    <col min="1" max="4" width="8.88671875" style="2"/>
    <col min="5" max="5" width="11.21875" style="2" bestFit="1" customWidth="1"/>
    <col min="6" max="6" width="8.88671875" style="2"/>
    <col min="8" max="8" width="14.21875" bestFit="1" customWidth="1"/>
    <col min="10" max="10" width="12.21875" bestFit="1" customWidth="1"/>
  </cols>
  <sheetData>
    <row r="1" spans="1:12" x14ac:dyDescent="0.3">
      <c r="A1" s="2" t="s">
        <v>408</v>
      </c>
      <c r="B1" s="2" t="s">
        <v>409</v>
      </c>
      <c r="C1" s="2" t="s">
        <v>410</v>
      </c>
      <c r="D1" s="2" t="s">
        <v>411</v>
      </c>
      <c r="E1" s="2" t="s">
        <v>412</v>
      </c>
      <c r="F1" s="2" t="s">
        <v>409</v>
      </c>
      <c r="H1" t="s">
        <v>413</v>
      </c>
      <c r="J1" t="s">
        <v>414</v>
      </c>
      <c r="L1" t="s">
        <v>415</v>
      </c>
    </row>
    <row r="2" spans="1:12" ht="15.6" x14ac:dyDescent="0.3">
      <c r="A2" s="2">
        <v>1</v>
      </c>
      <c r="B2" s="3" t="s">
        <v>17</v>
      </c>
      <c r="C2" s="3" t="s">
        <v>416</v>
      </c>
      <c r="D2" s="3" t="s">
        <v>417</v>
      </c>
      <c r="E2" s="4">
        <v>268471337</v>
      </c>
      <c r="F2" s="3" t="s">
        <v>17</v>
      </c>
      <c r="H2" t="s">
        <v>418</v>
      </c>
      <c r="J2" t="s">
        <v>419</v>
      </c>
      <c r="L2" t="s">
        <v>420</v>
      </c>
    </row>
    <row r="3" spans="1:12" ht="15.6" x14ac:dyDescent="0.3">
      <c r="A3" s="2">
        <v>1</v>
      </c>
      <c r="B3" s="3" t="s">
        <v>18</v>
      </c>
      <c r="C3" s="3" t="s">
        <v>416</v>
      </c>
      <c r="D3" s="3" t="s">
        <v>421</v>
      </c>
      <c r="E3" s="4">
        <v>268454953</v>
      </c>
      <c r="F3" s="3" t="s">
        <v>18</v>
      </c>
      <c r="H3" t="s">
        <v>422</v>
      </c>
      <c r="J3" t="s">
        <v>423</v>
      </c>
      <c r="L3" t="s">
        <v>424</v>
      </c>
    </row>
    <row r="4" spans="1:12" ht="15.6" x14ac:dyDescent="0.3">
      <c r="A4" s="2">
        <v>1</v>
      </c>
      <c r="B4" s="3" t="s">
        <v>19</v>
      </c>
      <c r="C4" s="3" t="s">
        <v>416</v>
      </c>
      <c r="D4" s="3" t="s">
        <v>425</v>
      </c>
      <c r="E4" s="4">
        <v>268446761</v>
      </c>
      <c r="F4" s="3" t="s">
        <v>19</v>
      </c>
      <c r="H4" t="s">
        <v>426</v>
      </c>
      <c r="J4" t="s">
        <v>427</v>
      </c>
      <c r="L4" t="s">
        <v>428</v>
      </c>
    </row>
    <row r="5" spans="1:12" ht="15.6" x14ac:dyDescent="0.3">
      <c r="A5" s="2">
        <v>1</v>
      </c>
      <c r="B5" s="3" t="s">
        <v>20</v>
      </c>
      <c r="C5" s="3" t="s">
        <v>416</v>
      </c>
      <c r="D5" s="3" t="s">
        <v>429</v>
      </c>
      <c r="E5" s="4">
        <v>268442665</v>
      </c>
      <c r="F5" s="3" t="s">
        <v>20</v>
      </c>
      <c r="H5" t="s">
        <v>430</v>
      </c>
      <c r="J5" t="s">
        <v>431</v>
      </c>
      <c r="L5" t="s">
        <v>432</v>
      </c>
    </row>
    <row r="6" spans="1:12" ht="15.6" x14ac:dyDescent="0.3">
      <c r="A6" s="2">
        <v>2</v>
      </c>
      <c r="B6" s="3" t="s">
        <v>21</v>
      </c>
      <c r="C6" s="3" t="s">
        <v>433</v>
      </c>
      <c r="D6" s="3" t="s">
        <v>417</v>
      </c>
      <c r="E6" s="4">
        <v>134253349</v>
      </c>
      <c r="F6" s="3" t="s">
        <v>21</v>
      </c>
      <c r="H6" t="s">
        <v>434</v>
      </c>
      <c r="L6" t="s">
        <v>435</v>
      </c>
    </row>
    <row r="7" spans="1:12" ht="15.6" x14ac:dyDescent="0.3">
      <c r="A7" s="2">
        <v>2</v>
      </c>
      <c r="B7" s="3" t="s">
        <v>22</v>
      </c>
      <c r="C7" s="3" t="s">
        <v>433</v>
      </c>
      <c r="D7" s="3" t="s">
        <v>421</v>
      </c>
      <c r="E7" s="4">
        <v>134236965</v>
      </c>
      <c r="F7" s="3" t="s">
        <v>22</v>
      </c>
      <c r="H7" t="s">
        <v>436</v>
      </c>
      <c r="L7" t="s">
        <v>437</v>
      </c>
    </row>
    <row r="8" spans="1:12" ht="15.6" x14ac:dyDescent="0.3">
      <c r="A8" s="2">
        <v>2</v>
      </c>
      <c r="B8" s="3" t="s">
        <v>23</v>
      </c>
      <c r="C8" s="3" t="s">
        <v>433</v>
      </c>
      <c r="D8" s="3" t="s">
        <v>425</v>
      </c>
      <c r="E8" s="4">
        <v>134228773</v>
      </c>
      <c r="F8" s="3" t="s">
        <v>23</v>
      </c>
      <c r="H8" t="s">
        <v>438</v>
      </c>
      <c r="L8" t="s">
        <v>439</v>
      </c>
    </row>
    <row r="9" spans="1:12" ht="15.6" x14ac:dyDescent="0.3">
      <c r="A9" s="2">
        <v>2</v>
      </c>
      <c r="B9" s="3" t="s">
        <v>24</v>
      </c>
      <c r="C9" s="3" t="s">
        <v>433</v>
      </c>
      <c r="D9" s="3" t="s">
        <v>429</v>
      </c>
      <c r="E9" s="4">
        <v>134224677</v>
      </c>
      <c r="F9" s="3" t="s">
        <v>24</v>
      </c>
      <c r="H9" t="s">
        <v>440</v>
      </c>
      <c r="L9" t="s">
        <v>441</v>
      </c>
    </row>
    <row r="10" spans="1:12" ht="15.6" x14ac:dyDescent="0.3">
      <c r="A10" s="2">
        <v>3</v>
      </c>
      <c r="B10" s="3" t="s">
        <v>25</v>
      </c>
      <c r="C10" s="3" t="s">
        <v>442</v>
      </c>
      <c r="D10" s="3" t="s">
        <v>417</v>
      </c>
      <c r="E10" s="4">
        <v>67144223</v>
      </c>
      <c r="F10" s="3" t="s">
        <v>25</v>
      </c>
      <c r="H10" t="s">
        <v>443</v>
      </c>
      <c r="L10" t="s">
        <v>444</v>
      </c>
    </row>
    <row r="11" spans="1:12" ht="15.6" x14ac:dyDescent="0.3">
      <c r="A11" s="2">
        <v>3</v>
      </c>
      <c r="B11" s="3" t="s">
        <v>26</v>
      </c>
      <c r="C11" s="3" t="s">
        <v>442</v>
      </c>
      <c r="D11" s="3" t="s">
        <v>421</v>
      </c>
      <c r="E11" s="4">
        <v>67127839</v>
      </c>
      <c r="F11" s="3" t="s">
        <v>26</v>
      </c>
      <c r="H11" t="s">
        <v>445</v>
      </c>
      <c r="L11" t="s">
        <v>446</v>
      </c>
    </row>
    <row r="12" spans="1:12" ht="15.6" x14ac:dyDescent="0.3">
      <c r="A12" s="2">
        <v>3</v>
      </c>
      <c r="B12" s="3" t="s">
        <v>27</v>
      </c>
      <c r="C12" s="3" t="s">
        <v>442</v>
      </c>
      <c r="D12" s="3" t="s">
        <v>425</v>
      </c>
      <c r="E12" s="4">
        <v>67119647</v>
      </c>
      <c r="F12" s="3" t="s">
        <v>27</v>
      </c>
      <c r="H12" t="s">
        <v>447</v>
      </c>
    </row>
    <row r="13" spans="1:12" ht="15.6" x14ac:dyDescent="0.3">
      <c r="A13" s="2">
        <v>3</v>
      </c>
      <c r="B13" s="3" t="s">
        <v>28</v>
      </c>
      <c r="C13" s="3" t="s">
        <v>442</v>
      </c>
      <c r="D13" s="3" t="s">
        <v>429</v>
      </c>
      <c r="E13" s="4">
        <v>67115551</v>
      </c>
      <c r="F13" s="3" t="s">
        <v>28</v>
      </c>
      <c r="H13" t="s">
        <v>448</v>
      </c>
    </row>
    <row r="14" spans="1:12" ht="15.6" x14ac:dyDescent="0.3">
      <c r="A14" s="2">
        <v>4</v>
      </c>
      <c r="B14" s="3" t="s">
        <v>29</v>
      </c>
      <c r="C14" s="3" t="s">
        <v>449</v>
      </c>
      <c r="D14" s="3" t="s">
        <v>417</v>
      </c>
      <c r="E14" s="4">
        <v>33589533</v>
      </c>
      <c r="F14" s="3" t="s">
        <v>29</v>
      </c>
      <c r="H14" t="s">
        <v>450</v>
      </c>
      <c r="L14" t="s">
        <v>451</v>
      </c>
    </row>
    <row r="15" spans="1:12" ht="15.6" x14ac:dyDescent="0.3">
      <c r="A15" s="2">
        <v>4</v>
      </c>
      <c r="B15" s="3" t="s">
        <v>30</v>
      </c>
      <c r="C15" s="3" t="s">
        <v>449</v>
      </c>
      <c r="D15" s="3" t="s">
        <v>421</v>
      </c>
      <c r="E15" s="4">
        <v>33573149</v>
      </c>
      <c r="F15" s="3" t="s">
        <v>30</v>
      </c>
      <c r="H15" t="s">
        <v>452</v>
      </c>
    </row>
    <row r="16" spans="1:12" ht="15.6" x14ac:dyDescent="0.3">
      <c r="A16" s="2">
        <v>4</v>
      </c>
      <c r="B16" s="3" t="s">
        <v>31</v>
      </c>
      <c r="C16" s="3" t="s">
        <v>449</v>
      </c>
      <c r="D16" s="3" t="s">
        <v>425</v>
      </c>
      <c r="E16" s="4">
        <v>33564957</v>
      </c>
      <c r="F16" s="3" t="s">
        <v>31</v>
      </c>
      <c r="H16" t="s">
        <v>453</v>
      </c>
    </row>
    <row r="17" spans="1:8" ht="15.6" x14ac:dyDescent="0.3">
      <c r="A17" s="2">
        <v>4</v>
      </c>
      <c r="B17" s="3" t="s">
        <v>32</v>
      </c>
      <c r="C17" s="3" t="s">
        <v>449</v>
      </c>
      <c r="D17" s="3" t="s">
        <v>429</v>
      </c>
      <c r="E17" s="4">
        <v>33560861</v>
      </c>
      <c r="F17" s="3" t="s">
        <v>32</v>
      </c>
      <c r="H17" t="s">
        <v>454</v>
      </c>
    </row>
    <row r="18" spans="1:8" ht="15.6" x14ac:dyDescent="0.3">
      <c r="A18" s="2">
        <v>5</v>
      </c>
      <c r="B18" s="3" t="s">
        <v>33</v>
      </c>
      <c r="C18" s="3" t="s">
        <v>455</v>
      </c>
      <c r="D18" s="3" t="s">
        <v>417</v>
      </c>
      <c r="E18" s="4">
        <v>16812055</v>
      </c>
      <c r="F18" s="3" t="s">
        <v>33</v>
      </c>
    </row>
    <row r="19" spans="1:8" ht="15.6" x14ac:dyDescent="0.3">
      <c r="A19" s="2">
        <v>5</v>
      </c>
      <c r="B19" s="3" t="s">
        <v>34</v>
      </c>
      <c r="C19" s="3" t="s">
        <v>455</v>
      </c>
      <c r="D19" s="3" t="s">
        <v>421</v>
      </c>
      <c r="E19" s="4">
        <v>16795671</v>
      </c>
      <c r="F19" s="3" t="s">
        <v>34</v>
      </c>
    </row>
    <row r="20" spans="1:8" ht="15.6" x14ac:dyDescent="0.3">
      <c r="A20" s="2">
        <v>5</v>
      </c>
      <c r="B20" s="3" t="s">
        <v>35</v>
      </c>
      <c r="C20" s="3" t="s">
        <v>455</v>
      </c>
      <c r="D20" s="3" t="s">
        <v>425</v>
      </c>
      <c r="E20" s="4">
        <v>16787479</v>
      </c>
      <c r="F20" s="3" t="s">
        <v>35</v>
      </c>
    </row>
    <row r="21" spans="1:8" ht="15.6" x14ac:dyDescent="0.3">
      <c r="A21" s="2">
        <v>5</v>
      </c>
      <c r="B21" s="3" t="s">
        <v>36</v>
      </c>
      <c r="C21" s="3" t="s">
        <v>455</v>
      </c>
      <c r="D21" s="3" t="s">
        <v>429</v>
      </c>
      <c r="E21" s="4">
        <v>16783383</v>
      </c>
      <c r="F21" s="3" t="s">
        <v>36</v>
      </c>
    </row>
    <row r="22" spans="1:8" ht="15.6" x14ac:dyDescent="0.3">
      <c r="A22" s="2">
        <v>6</v>
      </c>
      <c r="B22" s="3" t="s">
        <v>37</v>
      </c>
      <c r="C22" s="3">
        <v>9</v>
      </c>
      <c r="D22" s="3" t="s">
        <v>417</v>
      </c>
      <c r="E22" s="4">
        <v>8423187</v>
      </c>
      <c r="F22" s="3" t="s">
        <v>37</v>
      </c>
    </row>
    <row r="23" spans="1:8" ht="15.6" x14ac:dyDescent="0.3">
      <c r="A23" s="2">
        <v>6</v>
      </c>
      <c r="B23" s="3" t="s">
        <v>38</v>
      </c>
      <c r="C23" s="3">
        <v>9</v>
      </c>
      <c r="D23" s="3" t="s">
        <v>421</v>
      </c>
      <c r="E23" s="4">
        <v>8406803</v>
      </c>
      <c r="F23" s="3" t="s">
        <v>38</v>
      </c>
    </row>
    <row r="24" spans="1:8" ht="15.6" x14ac:dyDescent="0.3">
      <c r="A24" s="2">
        <v>6</v>
      </c>
      <c r="B24" s="3" t="s">
        <v>39</v>
      </c>
      <c r="C24" s="3">
        <v>9</v>
      </c>
      <c r="D24" s="3" t="s">
        <v>425</v>
      </c>
      <c r="E24" s="4">
        <v>8398611</v>
      </c>
      <c r="F24" s="3" t="s">
        <v>39</v>
      </c>
    </row>
    <row r="25" spans="1:8" ht="15.6" x14ac:dyDescent="0.3">
      <c r="A25" s="2">
        <v>6</v>
      </c>
      <c r="B25" s="3" t="s">
        <v>40</v>
      </c>
      <c r="C25" s="3">
        <v>9</v>
      </c>
      <c r="D25" s="3" t="s">
        <v>429</v>
      </c>
      <c r="E25" s="4">
        <v>8394515</v>
      </c>
      <c r="F25" s="3" t="s">
        <v>40</v>
      </c>
    </row>
    <row r="26" spans="1:8" ht="15.6" x14ac:dyDescent="0.3">
      <c r="A26" s="2">
        <v>7</v>
      </c>
      <c r="B26" s="3" t="s">
        <v>41</v>
      </c>
      <c r="C26" s="3">
        <v>8</v>
      </c>
      <c r="D26" s="3" t="s">
        <v>417</v>
      </c>
      <c r="E26" s="4">
        <v>4228625</v>
      </c>
      <c r="F26" s="3" t="s">
        <v>41</v>
      </c>
    </row>
    <row r="27" spans="1:8" ht="15.6" x14ac:dyDescent="0.3">
      <c r="A27" s="2">
        <v>7</v>
      </c>
      <c r="B27" s="3" t="s">
        <v>42</v>
      </c>
      <c r="C27" s="3">
        <v>8</v>
      </c>
      <c r="D27" s="3" t="s">
        <v>421</v>
      </c>
      <c r="E27" s="4">
        <v>4212241</v>
      </c>
      <c r="F27" s="3" t="s">
        <v>42</v>
      </c>
    </row>
    <row r="28" spans="1:8" ht="15.6" x14ac:dyDescent="0.3">
      <c r="A28" s="2">
        <v>7</v>
      </c>
      <c r="B28" s="3" t="s">
        <v>43</v>
      </c>
      <c r="C28" s="3">
        <v>8</v>
      </c>
      <c r="D28" s="3" t="s">
        <v>425</v>
      </c>
      <c r="E28" s="4">
        <v>4204049</v>
      </c>
      <c r="F28" s="3" t="s">
        <v>43</v>
      </c>
    </row>
    <row r="29" spans="1:8" ht="15.6" x14ac:dyDescent="0.3">
      <c r="A29" s="2">
        <v>7</v>
      </c>
      <c r="B29" s="3" t="s">
        <v>44</v>
      </c>
      <c r="C29" s="3">
        <v>8</v>
      </c>
      <c r="D29" s="3" t="s">
        <v>429</v>
      </c>
      <c r="E29" s="4">
        <v>4199953</v>
      </c>
      <c r="F29" s="3" t="s">
        <v>44</v>
      </c>
    </row>
    <row r="30" spans="1:8" ht="15.6" x14ac:dyDescent="0.3">
      <c r="A30" s="2">
        <v>8</v>
      </c>
      <c r="B30" s="3" t="s">
        <v>45</v>
      </c>
      <c r="C30" s="3">
        <v>7</v>
      </c>
      <c r="D30" s="3" t="s">
        <v>417</v>
      </c>
      <c r="E30" s="4">
        <v>2131213</v>
      </c>
      <c r="F30" s="3" t="s">
        <v>45</v>
      </c>
    </row>
    <row r="31" spans="1:8" ht="15.6" x14ac:dyDescent="0.3">
      <c r="A31" s="2">
        <v>8</v>
      </c>
      <c r="B31" s="3" t="s">
        <v>46</v>
      </c>
      <c r="C31" s="3">
        <v>7</v>
      </c>
      <c r="D31" s="3" t="s">
        <v>421</v>
      </c>
      <c r="E31" s="4">
        <v>2114829</v>
      </c>
      <c r="F31" s="3" t="s">
        <v>46</v>
      </c>
    </row>
    <row r="32" spans="1:8" ht="15.6" x14ac:dyDescent="0.3">
      <c r="A32" s="2">
        <v>8</v>
      </c>
      <c r="B32" s="3" t="s">
        <v>47</v>
      </c>
      <c r="C32" s="3">
        <v>7</v>
      </c>
      <c r="D32" s="3" t="s">
        <v>425</v>
      </c>
      <c r="E32" s="4">
        <v>2106637</v>
      </c>
      <c r="F32" s="3" t="s">
        <v>47</v>
      </c>
    </row>
    <row r="33" spans="1:6" ht="15.6" x14ac:dyDescent="0.3">
      <c r="A33" s="2">
        <v>8</v>
      </c>
      <c r="B33" s="3" t="s">
        <v>48</v>
      </c>
      <c r="C33" s="3">
        <v>7</v>
      </c>
      <c r="D33" s="3" t="s">
        <v>429</v>
      </c>
      <c r="E33" s="4">
        <v>2102541</v>
      </c>
      <c r="F33" s="3" t="s">
        <v>48</v>
      </c>
    </row>
    <row r="34" spans="1:6" ht="15.6" x14ac:dyDescent="0.3">
      <c r="A34" s="2">
        <v>9</v>
      </c>
      <c r="B34" s="3" t="s">
        <v>49</v>
      </c>
      <c r="C34" s="3">
        <v>6</v>
      </c>
      <c r="D34" s="3" t="s">
        <v>417</v>
      </c>
      <c r="E34" s="4">
        <v>1082379</v>
      </c>
      <c r="F34" s="3" t="s">
        <v>49</v>
      </c>
    </row>
    <row r="35" spans="1:6" ht="15.6" x14ac:dyDescent="0.3">
      <c r="A35" s="2">
        <v>9</v>
      </c>
      <c r="B35" s="3" t="s">
        <v>50</v>
      </c>
      <c r="C35" s="3">
        <v>6</v>
      </c>
      <c r="D35" s="3" t="s">
        <v>421</v>
      </c>
      <c r="E35" s="4">
        <v>1065995</v>
      </c>
      <c r="F35" s="3" t="s">
        <v>50</v>
      </c>
    </row>
    <row r="36" spans="1:6" ht="15.6" x14ac:dyDescent="0.3">
      <c r="A36" s="2">
        <v>9</v>
      </c>
      <c r="B36" s="3" t="s">
        <v>51</v>
      </c>
      <c r="C36" s="3">
        <v>6</v>
      </c>
      <c r="D36" s="3" t="s">
        <v>425</v>
      </c>
      <c r="E36" s="4">
        <v>1057803</v>
      </c>
      <c r="F36" s="3" t="s">
        <v>51</v>
      </c>
    </row>
    <row r="37" spans="1:6" ht="15.6" x14ac:dyDescent="0.3">
      <c r="A37" s="2">
        <v>9</v>
      </c>
      <c r="B37" s="3" t="s">
        <v>52</v>
      </c>
      <c r="C37" s="3">
        <v>6</v>
      </c>
      <c r="D37" s="3" t="s">
        <v>429</v>
      </c>
      <c r="E37" s="4">
        <v>1053707</v>
      </c>
      <c r="F37" s="3" t="s">
        <v>52</v>
      </c>
    </row>
    <row r="38" spans="1:6" ht="15.6" x14ac:dyDescent="0.3">
      <c r="A38" s="2">
        <v>10</v>
      </c>
      <c r="B38" s="3" t="s">
        <v>53</v>
      </c>
      <c r="C38" s="3">
        <v>5</v>
      </c>
      <c r="D38" s="3" t="s">
        <v>417</v>
      </c>
      <c r="E38" s="4">
        <v>557831</v>
      </c>
      <c r="F38" s="3" t="s">
        <v>53</v>
      </c>
    </row>
    <row r="39" spans="1:6" ht="15.6" x14ac:dyDescent="0.3">
      <c r="A39" s="2">
        <v>10</v>
      </c>
      <c r="B39" s="3" t="s">
        <v>54</v>
      </c>
      <c r="C39" s="3">
        <v>5</v>
      </c>
      <c r="D39" s="3" t="s">
        <v>421</v>
      </c>
      <c r="E39" s="4">
        <v>541447</v>
      </c>
      <c r="F39" s="3" t="s">
        <v>54</v>
      </c>
    </row>
    <row r="40" spans="1:6" ht="15.6" x14ac:dyDescent="0.3">
      <c r="A40" s="2">
        <v>10</v>
      </c>
      <c r="B40" s="3" t="s">
        <v>55</v>
      </c>
      <c r="C40" s="3">
        <v>5</v>
      </c>
      <c r="D40" s="3" t="s">
        <v>425</v>
      </c>
      <c r="E40" s="4">
        <v>533255</v>
      </c>
      <c r="F40" s="3" t="s">
        <v>55</v>
      </c>
    </row>
    <row r="41" spans="1:6" ht="15.6" x14ac:dyDescent="0.3">
      <c r="A41" s="2">
        <v>10</v>
      </c>
      <c r="B41" s="3" t="s">
        <v>56</v>
      </c>
      <c r="C41" s="3">
        <v>5</v>
      </c>
      <c r="D41" s="3" t="s">
        <v>429</v>
      </c>
      <c r="E41" s="4">
        <v>529159</v>
      </c>
      <c r="F41" s="3" t="s">
        <v>56</v>
      </c>
    </row>
    <row r="42" spans="1:6" ht="15.6" x14ac:dyDescent="0.3">
      <c r="A42" s="2">
        <v>11</v>
      </c>
      <c r="B42" s="3" t="s">
        <v>57</v>
      </c>
      <c r="C42" s="3">
        <v>4</v>
      </c>
      <c r="D42" s="3" t="s">
        <v>417</v>
      </c>
      <c r="E42" s="4">
        <v>295429</v>
      </c>
      <c r="F42" s="3" t="s">
        <v>57</v>
      </c>
    </row>
    <row r="43" spans="1:6" ht="15.6" x14ac:dyDescent="0.3">
      <c r="A43" s="2">
        <v>11</v>
      </c>
      <c r="B43" s="3" t="s">
        <v>58</v>
      </c>
      <c r="C43" s="3">
        <v>4</v>
      </c>
      <c r="D43" s="3" t="s">
        <v>421</v>
      </c>
      <c r="E43" s="4">
        <v>279045</v>
      </c>
      <c r="F43" s="3" t="s">
        <v>58</v>
      </c>
    </row>
    <row r="44" spans="1:6" ht="15.6" x14ac:dyDescent="0.3">
      <c r="A44" s="2">
        <v>11</v>
      </c>
      <c r="B44" s="3" t="s">
        <v>59</v>
      </c>
      <c r="C44" s="3">
        <v>4</v>
      </c>
      <c r="D44" s="3" t="s">
        <v>425</v>
      </c>
      <c r="E44" s="4">
        <v>270853</v>
      </c>
      <c r="F44" s="3" t="s">
        <v>59</v>
      </c>
    </row>
    <row r="45" spans="1:6" ht="15.6" x14ac:dyDescent="0.3">
      <c r="A45" s="2">
        <v>11</v>
      </c>
      <c r="B45" s="3" t="s">
        <v>60</v>
      </c>
      <c r="C45" s="3">
        <v>4</v>
      </c>
      <c r="D45" s="3" t="s">
        <v>429</v>
      </c>
      <c r="E45" s="4">
        <v>266757</v>
      </c>
      <c r="F45" s="3" t="s">
        <v>60</v>
      </c>
    </row>
    <row r="46" spans="1:6" ht="15.6" x14ac:dyDescent="0.3">
      <c r="A46" s="2">
        <v>12</v>
      </c>
      <c r="B46" s="3" t="s">
        <v>61</v>
      </c>
      <c r="C46" s="3">
        <v>3</v>
      </c>
      <c r="D46" s="3" t="s">
        <v>417</v>
      </c>
      <c r="E46" s="4">
        <v>164099</v>
      </c>
      <c r="F46" s="3" t="s">
        <v>61</v>
      </c>
    </row>
    <row r="47" spans="1:6" ht="15.6" x14ac:dyDescent="0.3">
      <c r="A47" s="2">
        <v>12</v>
      </c>
      <c r="B47" s="3" t="s">
        <v>62</v>
      </c>
      <c r="C47" s="3">
        <v>3</v>
      </c>
      <c r="D47" s="3" t="s">
        <v>421</v>
      </c>
      <c r="E47" s="4">
        <v>147715</v>
      </c>
      <c r="F47" s="3" t="s">
        <v>62</v>
      </c>
    </row>
    <row r="48" spans="1:6" ht="15.6" x14ac:dyDescent="0.3">
      <c r="A48" s="2">
        <v>12</v>
      </c>
      <c r="B48" s="3" t="s">
        <v>63</v>
      </c>
      <c r="C48" s="3">
        <v>3</v>
      </c>
      <c r="D48" s="3" t="s">
        <v>425</v>
      </c>
      <c r="E48" s="4">
        <v>139523</v>
      </c>
      <c r="F48" s="3" t="s">
        <v>63</v>
      </c>
    </row>
    <row r="49" spans="1:6" ht="15.6" x14ac:dyDescent="0.3">
      <c r="A49" s="2">
        <v>12</v>
      </c>
      <c r="B49" s="3" t="s">
        <v>64</v>
      </c>
      <c r="C49" s="3">
        <v>3</v>
      </c>
      <c r="D49" s="3" t="s">
        <v>429</v>
      </c>
      <c r="E49" s="4">
        <v>135427</v>
      </c>
      <c r="F49" s="3" t="s">
        <v>64</v>
      </c>
    </row>
    <row r="50" spans="1:6" ht="15.6" x14ac:dyDescent="0.3">
      <c r="A50" s="2">
        <v>13</v>
      </c>
      <c r="B50" s="3" t="s">
        <v>65</v>
      </c>
      <c r="C50" s="3">
        <v>2</v>
      </c>
      <c r="D50" s="3" t="s">
        <v>417</v>
      </c>
      <c r="E50" s="4">
        <v>98306</v>
      </c>
      <c r="F50" s="3" t="s">
        <v>65</v>
      </c>
    </row>
    <row r="51" spans="1:6" ht="15.6" x14ac:dyDescent="0.3">
      <c r="A51" s="2">
        <v>13</v>
      </c>
      <c r="B51" s="3" t="s">
        <v>66</v>
      </c>
      <c r="C51" s="3">
        <v>2</v>
      </c>
      <c r="D51" s="3" t="s">
        <v>421</v>
      </c>
      <c r="E51" s="4">
        <v>81922</v>
      </c>
      <c r="F51" s="3" t="s">
        <v>66</v>
      </c>
    </row>
    <row r="52" spans="1:6" ht="15.6" x14ac:dyDescent="0.3">
      <c r="A52" s="2">
        <v>13</v>
      </c>
      <c r="B52" s="3" t="s">
        <v>67</v>
      </c>
      <c r="C52" s="3">
        <v>2</v>
      </c>
      <c r="D52" s="3" t="s">
        <v>425</v>
      </c>
      <c r="E52" s="4">
        <v>73730</v>
      </c>
      <c r="F52" s="3" t="s">
        <v>67</v>
      </c>
    </row>
    <row r="53" spans="1:6" ht="15.6" x14ac:dyDescent="0.3">
      <c r="A53" s="2">
        <v>13</v>
      </c>
      <c r="B53" s="3" t="s">
        <v>68</v>
      </c>
      <c r="C53" s="3">
        <v>2</v>
      </c>
      <c r="D53" s="3" t="s">
        <v>429</v>
      </c>
      <c r="E53" s="4">
        <v>69634</v>
      </c>
      <c r="F53" s="3" t="s">
        <v>68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preflop</vt:lpstr>
      <vt:lpstr>flop</vt:lpstr>
      <vt:lpstr>turn</vt:lpstr>
      <vt:lpstr>Sheet3</vt:lpstr>
      <vt:lpstr>all_combos</vt:lpstr>
      <vt:lpstr>get_cards</vt:lpstr>
      <vt:lpstr>lookups</vt:lpstr>
    </vt:vector>
  </TitlesOfParts>
  <Company>National Australia Bank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McDonough</dc:creator>
  <cp:lastModifiedBy>Matt McDonough</cp:lastModifiedBy>
  <dcterms:created xsi:type="dcterms:W3CDTF">2018-06-19T04:49:34Z</dcterms:created>
  <dcterms:modified xsi:type="dcterms:W3CDTF">2018-06-19T06:29:44Z</dcterms:modified>
</cp:coreProperties>
</file>